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hannel Tracker" sheetId="2" state="visible" r:id="rId4"/>
    <sheet name="Niche Summary" sheetId="3" state="visible" r:id="rId5"/>
    <sheet name="Top Niche Picks" sheetId="4" state="visible" r:id="rId6"/>
    <sheet name="Competitor Lists" sheetId="5" state="visible" r:id="rId7"/>
  </sheets>
  <definedNames>
    <definedName function="false" hidden="true" localSheetId="1" name="_xlnm._FilterDatabase" vbProcedure="false">'Channel Tracker'!$A$1:$X$111</definedName>
    <definedName function="false" hidden="true" localSheetId="2" name="_xlnm._FilterDatabase" vbProcedure="false">'Niche Summary'!$A$1:$K$11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<sst xmlns="http://schemas.openxmlformats.org/spreadsheetml/2006/main" count="1289" uniqueCount="390">
  <si>
    <t xml:space="preserve">YouTube Faceless AI Channel — Niche Research Tracker</t>
  </si>
  <si>
    <t xml:space="preserve">Data pulled 2026-08-02 from Nexlev's live YouTube channel database (50,000+ channels, semantic niche search)</t>
  </si>
  <si>
    <t xml:space="preserve">Goal</t>
  </si>
  <si>
    <t xml:space="preserve">Find faceless, AI-recreatable YouTube niches for a new channel — budget $20-70/video, US audience, editing done by freelancers.</t>
  </si>
  <si>
    <t xml:space="preserve">How this workbook is organized</t>
  </si>
  <si>
    <t xml:space="preserve">  Niche Summary</t>
  </si>
  <si>
    <t xml:space="preserve">10 candidate niches, aggregated stats, pulled live via formula from the Channel Tracker sheet.</t>
  </si>
  <si>
    <t xml:space="preserve">  Channel Tracker</t>
  </si>
  <si>
    <t xml:space="preserve">110 unique channels tracked across those 10 niches — the raw research data (subs, views, virality, budget fit, activity).</t>
  </si>
  <si>
    <t xml:space="preserve">  Top Niche Picks</t>
  </si>
  <si>
    <t xml:space="preserve">The 5 niches that best clear every filter in your brief, with reasoning.</t>
  </si>
  <si>
    <t xml:space="preserve">  Competitor Lists</t>
  </si>
  <si>
    <t xml:space="preserve">10-15 named competitors for each of the top picks, proving the niche is both real and beatable.</t>
  </si>
  <si>
    <t xml:space="preserve">Screening criteria applied (from your brief)</t>
  </si>
  <si>
    <t xml:space="preserve">  Channel size</t>
  </si>
  <si>
    <t xml:space="preserve">Under 100k subs, ideally 10k-50k. One-month explosions to 100k+ views are fine even on small channels.</t>
  </si>
  <si>
    <t xml:space="preserve">  Channel age</t>
  </si>
  <si>
    <t xml:space="preserve">Created within the last 6 months (after 2026-02-02).</t>
  </si>
  <si>
    <t xml:space="preserve">  Viral proof</t>
  </si>
  <si>
    <t xml:space="preserve">At least one video 500k+ views, and a 100k+ view baseline across recent uploads (not a one-hit wonder).</t>
  </si>
  <si>
    <t xml:space="preserve">  Recreatable</t>
  </si>
  <si>
    <t xml:space="preserve">Videos under ~30 min are flagged 'Yes' — fits a $20-70 AI+freelancer budget. Longer videos cost 5x+ and are flagged accordingly.</t>
  </si>
  <si>
    <t xml:space="preserve">  Competition proof</t>
  </si>
  <si>
    <t xml:space="preserve">Niche must show 15+ distinct active channels ranking for the topic — proof the format is copyable, not a one-off fluke.</t>
  </si>
  <si>
    <t xml:space="preserve">  US audience</t>
  </si>
  <si>
    <t xml:space="preserve">Filtered to location = US (highest RPM, matches your ad-revenue model).</t>
  </si>
  <si>
    <t xml:space="preserve">Data source &amp; caveats</t>
  </si>
  <si>
    <t xml:space="preserve">  Source</t>
  </si>
  <si>
    <t xml:space="preserve">Nexlev niche-finder semantic search (AI-matched channels per topic query) + Nexlev's tracked stats snapshot per channel.</t>
  </si>
  <si>
    <t xml:space="preserve">  Revenue figures</t>
  </si>
  <si>
    <t xml:space="preserve">Nexlev's own AdSense estimate — directional, not exact. Treat as a rank signal, not a guarantee.</t>
  </si>
  <si>
    <t xml:space="preserve">  Video-length budget rule</t>
  </si>
  <si>
    <t xml:space="preserve">Your own note: 'hour-long videos = 5x cost'. Applied here as: &lt;=30 min = base budget fits; &gt;30 min = higher cost.</t>
  </si>
  <si>
    <t xml:space="preserve">  Freshness</t>
  </si>
  <si>
    <t xml:space="preserve">Free-tier API quota was hit after 10 niche queries — this covers 10 well-chosen niches, not an exhaustive market scan. Re-run more queries (sports sub-niches, tech, true crime sub-formats, ASMR, etc.) once quota resets to widen the funnel further.</t>
  </si>
  <si>
    <t xml:space="preserve">Channel</t>
  </si>
  <si>
    <t xml:space="preserve">Niche(s) matched</t>
  </si>
  <si>
    <t xml:space="preserve">Risk category</t>
  </si>
  <si>
    <t xml:space="preserve">Subscribers</t>
  </si>
  <si>
    <t xml:space="preserve">Channel created</t>
  </si>
  <si>
    <t xml:space="preserve">Country</t>
  </si>
  <si>
    <t xml:space="preserve">Outlier score</t>
  </si>
  <si>
    <t xml:space="preserve">Avg views/video</t>
  </si>
  <si>
    <t xml:space="preserve">Median views/video</t>
  </si>
  <si>
    <t xml:space="preserve">Top recent video (views)</t>
  </si>
  <si>
    <t xml:space="preserve"># videos &gt;=500k</t>
  </si>
  <si>
    <t xml:space="preserve"># videos &gt;=100k</t>
  </si>
  <si>
    <t xml:space="preserve">Sample size</t>
  </si>
  <si>
    <t xml:space="preserve">Total videos</t>
  </si>
  <si>
    <t xml:space="preserve">Uploads/week</t>
  </si>
  <si>
    <t xml:space="preserve">Avg video length (min)</t>
  </si>
  <si>
    <t xml:space="preserve">Budget fit (&lt;=30min)</t>
  </si>
  <si>
    <t xml:space="preserve">Est. monthly revenue ($)</t>
  </si>
  <si>
    <t xml:space="preserve">Monetized?</t>
  </si>
  <si>
    <t xml:space="preserve">AI-made?</t>
  </si>
  <si>
    <t xml:space="preserve">Last upload</t>
  </si>
  <si>
    <t xml:space="preserve">Days since last upload</t>
  </si>
  <si>
    <t xml:space="preserve">Active? (&lt;=45d)</t>
  </si>
  <si>
    <t xml:space="preserve">Meets viral bar?</t>
  </si>
  <si>
    <t xml:space="preserve">SIMSKY BOSSKY</t>
  </si>
  <si>
    <t xml:space="preserve">motivational success stories; psychology and human behavior facts; space facts and astronomy explained</t>
  </si>
  <si>
    <t xml:space="preserve">Low risk / steady</t>
  </si>
  <si>
    <t xml:space="preserve">2026-03-27</t>
  </si>
  <si>
    <t xml:space="preserve">US</t>
  </si>
  <si>
    <t xml:space="preserve">Yes</t>
  </si>
  <si>
    <t xml:space="preserve">No</t>
  </si>
  <si>
    <t xml:space="preserve">2026-07-09</t>
  </si>
  <si>
    <t xml:space="preserve">Hidden Planet Docs</t>
  </si>
  <si>
    <t xml:space="preserve">ancient civilizations and archaeology mysteries; history documentary deep dive; space facts and astronomy explained; unsolved mysteries and paranormal</t>
  </si>
  <si>
    <t xml:space="preserve">Low risk / steady/Medium risk</t>
  </si>
  <si>
    <t xml:space="preserve">2026-02-22</t>
  </si>
  <si>
    <t xml:space="preserve">2026-07-29</t>
  </si>
  <si>
    <t xml:space="preserve">Axen</t>
  </si>
  <si>
    <t xml:space="preserve">ancient civilizations and archaeology mysteries; psychology and human behavior facts</t>
  </si>
  <si>
    <t xml:space="preserve">2026-04-28</t>
  </si>
  <si>
    <t xml:space="preserve">2026-06-26</t>
  </si>
  <si>
    <t xml:space="preserve">DungeonsNoWork</t>
  </si>
  <si>
    <t xml:space="preserve">reddit relationship stories AITA</t>
  </si>
  <si>
    <t xml:space="preserve">Medium risk</t>
  </si>
  <si>
    <t xml:space="preserve">2026-05-15</t>
  </si>
  <si>
    <t xml:space="preserve">2026-07-24</t>
  </si>
  <si>
    <t xml:space="preserve">PlanetCam</t>
  </si>
  <si>
    <t xml:space="preserve">space facts and astronomy explained</t>
  </si>
  <si>
    <t xml:space="preserve">2026-03-16</t>
  </si>
  <si>
    <t xml:space="preserve">2026-05-20</t>
  </si>
  <si>
    <t xml:space="preserve">Immersive Bible Stories</t>
  </si>
  <si>
    <t xml:space="preserve">ancient civilizations and archaeology mysteries; history documentary deep dive</t>
  </si>
  <si>
    <t xml:space="preserve">2026-04-15</t>
  </si>
  <si>
    <t xml:space="preserve">2026-05-07</t>
  </si>
  <si>
    <t xml:space="preserve">Silas Recap</t>
  </si>
  <si>
    <t xml:space="preserve">motivational success stories; reddit relationship stories AITA; sports highlights and recap</t>
  </si>
  <si>
    <t xml:space="preserve">High risk / fast/Low risk / steady/Medium risk</t>
  </si>
  <si>
    <t xml:space="preserve">2026-02-11</t>
  </si>
  <si>
    <t xml:space="preserve">Markets of the Past</t>
  </si>
  <si>
    <t xml:space="preserve">history documentary deep dive; psychology and human behavior facts</t>
  </si>
  <si>
    <t xml:space="preserve">2026-04-10</t>
  </si>
  <si>
    <t xml:space="preserve">Your Verdict HQ</t>
  </si>
  <si>
    <t xml:space="preserve">celebrity news and gossip drama; reddit relationship stories AITA; true crime case files</t>
  </si>
  <si>
    <t xml:space="preserve">High risk / fast/Medium risk</t>
  </si>
  <si>
    <t xml:space="preserve">2026-02-26</t>
  </si>
  <si>
    <t xml:space="preserve">The Understory</t>
  </si>
  <si>
    <t xml:space="preserve">2026-07-23</t>
  </si>
  <si>
    <t xml:space="preserve">Weirdium</t>
  </si>
  <si>
    <t xml:space="preserve">ancient civilizations and archaeology mysteries; history documentary deep dive; psychology and human behavior facts; unsolved mysteries and paranormal</t>
  </si>
  <si>
    <t xml:space="preserve">2026-06-14</t>
  </si>
  <si>
    <t xml:space="preserve">Inside Japan Living</t>
  </si>
  <si>
    <t xml:space="preserve">psychology and human behavior facts</t>
  </si>
  <si>
    <t xml:space="preserve">Money Simplified</t>
  </si>
  <si>
    <t xml:space="preserve">2026-02-05</t>
  </si>
  <si>
    <t xml:space="preserve">2026-06-04</t>
  </si>
  <si>
    <t xml:space="preserve">Revival Blueprint</t>
  </si>
  <si>
    <t xml:space="preserve">motivational success stories</t>
  </si>
  <si>
    <t xml:space="preserve">2026-02-25</t>
  </si>
  <si>
    <t xml:space="preserve">Bluntly Explained</t>
  </si>
  <si>
    <t xml:space="preserve">2026-04-14</t>
  </si>
  <si>
    <t xml:space="preserve">2026-07-26</t>
  </si>
  <si>
    <t xml:space="preserve">SafeHaven wildlife</t>
  </si>
  <si>
    <t xml:space="preserve">sports highlights and recap</t>
  </si>
  <si>
    <t xml:space="preserve">High risk / fast</t>
  </si>
  <si>
    <t xml:space="preserve">2026-03-25</t>
  </si>
  <si>
    <t xml:space="preserve">2026-04-20</t>
  </si>
  <si>
    <t xml:space="preserve">Wildcrafted Homes</t>
  </si>
  <si>
    <t xml:space="preserve">ancient civilizations and archaeology mysteries</t>
  </si>
  <si>
    <t xml:space="preserve">2026-04-16</t>
  </si>
  <si>
    <t xml:space="preserve">Causality</t>
  </si>
  <si>
    <t xml:space="preserve">psychology and human behavior facts; space facts and astronomy explained</t>
  </si>
  <si>
    <t xml:space="preserve">Real Crime Cam</t>
  </si>
  <si>
    <t xml:space="preserve">true crime case files</t>
  </si>
  <si>
    <t xml:space="preserve">Yogiri Recap</t>
  </si>
  <si>
    <t xml:space="preserve">reddit relationship stories AITA; sports highlights and recap</t>
  </si>
  <si>
    <t xml:space="preserve">2026-05-12</t>
  </si>
  <si>
    <t xml:space="preserve">You Are History</t>
  </si>
  <si>
    <t xml:space="preserve">ancient civilizations and archaeology mysteries; history documentary deep dive; psychology and human behavior facts</t>
  </si>
  <si>
    <t xml:space="preserve">2026-03-01</t>
  </si>
  <si>
    <t xml:space="preserve">2026-06-16</t>
  </si>
  <si>
    <t xml:space="preserve">Animated Math</t>
  </si>
  <si>
    <t xml:space="preserve">2026-06-30</t>
  </si>
  <si>
    <t xml:space="preserve">2026-07-22</t>
  </si>
  <si>
    <t xml:space="preserve">Vikings Life</t>
  </si>
  <si>
    <t xml:space="preserve">2026-02-06</t>
  </si>
  <si>
    <t xml:space="preserve">MachSquawk</t>
  </si>
  <si>
    <t xml:space="preserve">Rush Factor</t>
  </si>
  <si>
    <t xml:space="preserve">sports highlights and recap; true crime case files</t>
  </si>
  <si>
    <t xml:space="preserve">2026-04-03</t>
  </si>
  <si>
    <t xml:space="preserve">Prime Movie Recap</t>
  </si>
  <si>
    <t xml:space="preserve">2026-04-23</t>
  </si>
  <si>
    <t xml:space="preserve">Mini Mystie</t>
  </si>
  <si>
    <t xml:space="preserve">motivational success stories; reddit relationship stories AITA</t>
  </si>
  <si>
    <t xml:space="preserve">2026-03-02</t>
  </si>
  <si>
    <t xml:space="preserve">Brano Stories</t>
  </si>
  <si>
    <t xml:space="preserve">Shadow Within Jung</t>
  </si>
  <si>
    <t xml:space="preserve">2026-04-22</t>
  </si>
  <si>
    <t xml:space="preserve">2026-07-17</t>
  </si>
  <si>
    <t xml:space="preserve">Nyx Recaps</t>
  </si>
  <si>
    <t xml:space="preserve">2026-07-25</t>
  </si>
  <si>
    <t xml:space="preserve">Animated Military</t>
  </si>
  <si>
    <t xml:space="preserve">2026-04-05</t>
  </si>
  <si>
    <t xml:space="preserve">2026-05-14</t>
  </si>
  <si>
    <t xml:space="preserve">Nature Lab Explained</t>
  </si>
  <si>
    <t xml:space="preserve">2026-03-24</t>
  </si>
  <si>
    <t xml:space="preserve">Jiang The Explainer</t>
  </si>
  <si>
    <t xml:space="preserve">2026-04-09</t>
  </si>
  <si>
    <t xml:space="preserve">2026-05-28</t>
  </si>
  <si>
    <t xml:space="preserve">SANDBOX BABY CODES</t>
  </si>
  <si>
    <t xml:space="preserve">2026-02-17</t>
  </si>
  <si>
    <t xml:space="preserve">Club Tranq</t>
  </si>
  <si>
    <t xml:space="preserve">2026-05-10</t>
  </si>
  <si>
    <t xml:space="preserve">2026-07-27</t>
  </si>
  <si>
    <t xml:space="preserve">Sam's Diaries </t>
  </si>
  <si>
    <t xml:space="preserve">2026-02-19</t>
  </si>
  <si>
    <t xml:space="preserve">2026-07-16</t>
  </si>
  <si>
    <t xml:space="preserve">True Crime- FLO</t>
  </si>
  <si>
    <t xml:space="preserve">true crime case files; unsolved mysteries and paranormal</t>
  </si>
  <si>
    <t xml:space="preserve">2026-07-28</t>
  </si>
  <si>
    <t xml:space="preserve">Historeelz</t>
  </si>
  <si>
    <t xml:space="preserve">ancient civilizations and archaeology mysteries; history documentary deep dive; space facts and astronomy explained</t>
  </si>
  <si>
    <t xml:space="preserve">Verdictly</t>
  </si>
  <si>
    <t xml:space="preserve">2026-03-31</t>
  </si>
  <si>
    <t xml:space="preserve">Crown Recaps</t>
  </si>
  <si>
    <t xml:space="preserve">celebrity news and gossip drama; sports highlights and recap</t>
  </si>
  <si>
    <t xml:space="preserve">2026-05-21</t>
  </si>
  <si>
    <t xml:space="preserve">Hidden West</t>
  </si>
  <si>
    <t xml:space="preserve">ancient civilizations and archaeology mysteries; history documentary deep dive; unsolved mysteries and paranormal</t>
  </si>
  <si>
    <t xml:space="preserve">2026-02-02</t>
  </si>
  <si>
    <t xml:space="preserve">Real Bodycam Breakdown</t>
  </si>
  <si>
    <t xml:space="preserve">The Pistol Archives</t>
  </si>
  <si>
    <t xml:space="preserve">history documentary deep dive</t>
  </si>
  <si>
    <t xml:space="preserve">2026-07-02</t>
  </si>
  <si>
    <t xml:space="preserve">Cold Case Reopened</t>
  </si>
  <si>
    <t xml:space="preserve">ancient civilizations and archaeology mysteries; true crime case files; unsolved mysteries and paranormal</t>
  </si>
  <si>
    <t xml:space="preserve">2026-07-14</t>
  </si>
  <si>
    <t xml:space="preserve">Rulah</t>
  </si>
  <si>
    <t xml:space="preserve">Cold Case Files</t>
  </si>
  <si>
    <t xml:space="preserve">2026-03-13</t>
  </si>
  <si>
    <t xml:space="preserve">2026-05-29</t>
  </si>
  <si>
    <t xml:space="preserve">The Net Explainer</t>
  </si>
  <si>
    <t xml:space="preserve">reddit relationship stories AITA; space facts and astronomy explained</t>
  </si>
  <si>
    <t xml:space="preserve">Behind Detective's Mind</t>
  </si>
  <si>
    <t xml:space="preserve">psychology and human behavior facts; true crime case files; unsolved mysteries and paranormal</t>
  </si>
  <si>
    <t xml:space="preserve">Moments of Justice</t>
  </si>
  <si>
    <t xml:space="preserve">2026-04-24</t>
  </si>
  <si>
    <t xml:space="preserve">San English</t>
  </si>
  <si>
    <t xml:space="preserve">2026-06-05</t>
  </si>
  <si>
    <t xml:space="preserve">Investigative Roundtable</t>
  </si>
  <si>
    <t xml:space="preserve">history documentary deep dive; true crime case files; unsolved mysteries and paranormal</t>
  </si>
  <si>
    <t xml:space="preserve">Ancient Forensics</t>
  </si>
  <si>
    <t xml:space="preserve">2026-05-03</t>
  </si>
  <si>
    <t xml:space="preserve">Rising Talent</t>
  </si>
  <si>
    <t xml:space="preserve">motivational success stories; sports highlights and recap</t>
  </si>
  <si>
    <t xml:space="preserve">High risk / fast/Low risk / steady</t>
  </si>
  <si>
    <t xml:space="preserve">2026-05-30</t>
  </si>
  <si>
    <t xml:space="preserve">Unfiltered Influence</t>
  </si>
  <si>
    <t xml:space="preserve">celebrity news and gossip drama</t>
  </si>
  <si>
    <t xml:space="preserve">2026-02-12</t>
  </si>
  <si>
    <t xml:space="preserve">Best Choice Recaps</t>
  </si>
  <si>
    <t xml:space="preserve">2026-02-15</t>
  </si>
  <si>
    <t xml:space="preserve">Bruce Lee Silent Power </t>
  </si>
  <si>
    <t xml:space="preserve">motivational success stories; psychology and human behavior facts</t>
  </si>
  <si>
    <t xml:space="preserve">2026-04-21</t>
  </si>
  <si>
    <t xml:space="preserve">Velkar Abyss Archive</t>
  </si>
  <si>
    <t xml:space="preserve">ancient civilizations and archaeology mysteries; space facts and astronomy explained; unsolved mysteries and paranormal</t>
  </si>
  <si>
    <t xml:space="preserve">2026-03-10</t>
  </si>
  <si>
    <t xml:space="preserve">2026-05-17</t>
  </si>
  <si>
    <t xml:space="preserve">True Crime Files</t>
  </si>
  <si>
    <t xml:space="preserve">The Geo Bytes</t>
  </si>
  <si>
    <t xml:space="preserve">SCENE FEED</t>
  </si>
  <si>
    <t xml:space="preserve">celebrity news and gossip drama; true crime case files</t>
  </si>
  <si>
    <t xml:space="preserve">Browser Explained</t>
  </si>
  <si>
    <t xml:space="preserve">Never Too Late </t>
  </si>
  <si>
    <t xml:space="preserve">Cornered.</t>
  </si>
  <si>
    <t xml:space="preserve">2026-04-29</t>
  </si>
  <si>
    <t xml:space="preserve">Beauty Secrets</t>
  </si>
  <si>
    <t xml:space="preserve">celebrity news and gossip drama; true crime case files; unsolved mysteries and paranormal</t>
  </si>
  <si>
    <t xml:space="preserve">2026-05-18</t>
  </si>
  <si>
    <t xml:space="preserve">Kelly Takeover</t>
  </si>
  <si>
    <t xml:space="preserve">2026-06-20</t>
  </si>
  <si>
    <t xml:space="preserve">Vokko</t>
  </si>
  <si>
    <t xml:space="preserve">2026-05-09</t>
  </si>
  <si>
    <t xml:space="preserve">Only Dad Stories</t>
  </si>
  <si>
    <t xml:space="preserve">2026-04-13</t>
  </si>
  <si>
    <t xml:space="preserve">2026-06-10</t>
  </si>
  <si>
    <t xml:space="preserve">Entertainment Yum Yum</t>
  </si>
  <si>
    <t xml:space="preserve">celebrity news and gossip drama; motivational success stories; sports highlights and recap</t>
  </si>
  <si>
    <t xml:space="preserve">2026-06-07</t>
  </si>
  <si>
    <t xml:space="preserve">Prehistoria Hub</t>
  </si>
  <si>
    <t xml:space="preserve">True Respect</t>
  </si>
  <si>
    <t xml:space="preserve">celebrity news and gossip drama; motivational success stories</t>
  </si>
  <si>
    <t xml:space="preserve">2026-03-17</t>
  </si>
  <si>
    <t xml:space="preserve">Cruifan</t>
  </si>
  <si>
    <t xml:space="preserve">psychology and human behavior facts; reddit relationship stories AITA</t>
  </si>
  <si>
    <t xml:space="preserve">2026-04-12</t>
  </si>
  <si>
    <t xml:space="preserve">CreamCheese Recap</t>
  </si>
  <si>
    <t xml:space="preserve">2026-07-07</t>
  </si>
  <si>
    <t xml:space="preserve">Impossible Places Global</t>
  </si>
  <si>
    <t xml:space="preserve">unsolved mysteries and paranormal</t>
  </si>
  <si>
    <t xml:space="preserve">2026-06-03</t>
  </si>
  <si>
    <t xml:space="preserve">Stories of the Unthinkable</t>
  </si>
  <si>
    <t xml:space="preserve">2026-03-30</t>
  </si>
  <si>
    <t xml:space="preserve">Scarlett Reddix</t>
  </si>
  <si>
    <t xml:space="preserve">2026-05-01</t>
  </si>
  <si>
    <t xml:space="preserve">2026-05-22</t>
  </si>
  <si>
    <t xml:space="preserve">SimplyHoops</t>
  </si>
  <si>
    <t xml:space="preserve">2026-03-18</t>
  </si>
  <si>
    <t xml:space="preserve">MJ Farm Stories</t>
  </si>
  <si>
    <t xml:space="preserve">2026-05-26</t>
  </si>
  <si>
    <t xml:space="preserve">Humanity Timeline</t>
  </si>
  <si>
    <t xml:space="preserve">history documentary deep dive; psychology and human behavior facts; space facts and astronomy explained</t>
  </si>
  <si>
    <t xml:space="preserve">Daily Recaps</t>
  </si>
  <si>
    <t xml:space="preserve">2026-02-03</t>
  </si>
  <si>
    <t xml:space="preserve">Simon | Meditative History</t>
  </si>
  <si>
    <t xml:space="preserve">2026-07-21</t>
  </si>
  <si>
    <t xml:space="preserve">Veiled Phantom</t>
  </si>
  <si>
    <t xml:space="preserve">reddit relationship stories AITA; true crime case files; unsolved mysteries and paranormal</t>
  </si>
  <si>
    <t xml:space="preserve">2026-05-06</t>
  </si>
  <si>
    <t xml:space="preserve">UnderLens</t>
  </si>
  <si>
    <t xml:space="preserve">2026-03-11</t>
  </si>
  <si>
    <t xml:space="preserve">Boxing Vibe</t>
  </si>
  <si>
    <t xml:space="preserve">2026-05-27</t>
  </si>
  <si>
    <t xml:space="preserve">Cinema Explanation</t>
  </si>
  <si>
    <t xml:space="preserve">Ancient Wrath</t>
  </si>
  <si>
    <t xml:space="preserve">Oldways Britain</t>
  </si>
  <si>
    <t xml:space="preserve">ancient civilizations and archaeology mysteries; unsolved mysteries and paranormal</t>
  </si>
  <si>
    <t xml:space="preserve">2026-06-23</t>
  </si>
  <si>
    <t xml:space="preserve">2026-08-01</t>
  </si>
  <si>
    <t xml:space="preserve">The Origin</t>
  </si>
  <si>
    <t xml:space="preserve">2026-06-27</t>
  </si>
  <si>
    <t xml:space="preserve">Star Bluks</t>
  </si>
  <si>
    <t xml:space="preserve">2026-04-26</t>
  </si>
  <si>
    <t xml:space="preserve">Reddit Unseen Planet</t>
  </si>
  <si>
    <t xml:space="preserve">2026-04-01</t>
  </si>
  <si>
    <t xml:space="preserve">Dora Manga</t>
  </si>
  <si>
    <t xml:space="preserve">2026-05-25</t>
  </si>
  <si>
    <t xml:space="preserve">The Windsor Lens</t>
  </si>
  <si>
    <t xml:space="preserve">2026-07-13</t>
  </si>
  <si>
    <t xml:space="preserve">True Planet</t>
  </si>
  <si>
    <t xml:space="preserve">history documentary deep dive; space facts and astronomy explained</t>
  </si>
  <si>
    <t xml:space="preserve">2026-06-01</t>
  </si>
  <si>
    <t xml:space="preserve">Axl Gang</t>
  </si>
  <si>
    <t xml:space="preserve">2026-03-19</t>
  </si>
  <si>
    <t xml:space="preserve">Interrogation Lore</t>
  </si>
  <si>
    <t xml:space="preserve">psychology and human behavior facts; reddit relationship stories AITA; true crime case files; unsolved mysteries and paranormal</t>
  </si>
  <si>
    <t xml:space="preserve">2026-07-15</t>
  </si>
  <si>
    <t xml:space="preserve">American Secrets</t>
  </si>
  <si>
    <t xml:space="preserve">celebrity news and gossip drama; history documentary deep dive; psychology and human behavior facts</t>
  </si>
  <si>
    <t xml:space="preserve">Timeless Haven</t>
  </si>
  <si>
    <t xml:space="preserve">All About Audits</t>
  </si>
  <si>
    <t xml:space="preserve">2026-03-09</t>
  </si>
  <si>
    <t xml:space="preserve">Gloww</t>
  </si>
  <si>
    <t xml:space="preserve">Influence exposed</t>
  </si>
  <si>
    <t xml:space="preserve">2026-03-05</t>
  </si>
  <si>
    <t xml:space="preserve">CrimeHub</t>
  </si>
  <si>
    <t xml:space="preserve">Gridiron Evolution</t>
  </si>
  <si>
    <t xml:space="preserve">Louis Status</t>
  </si>
  <si>
    <t xml:space="preserve">2026-07-10</t>
  </si>
  <si>
    <t xml:space="preserve">Wild West untold Stories</t>
  </si>
  <si>
    <t xml:space="preserve">AntiqueHunt</t>
  </si>
  <si>
    <t xml:space="preserve">Triwertime</t>
  </si>
  <si>
    <t xml:space="preserve">Scribble History</t>
  </si>
  <si>
    <t xml:space="preserve">2026-04-30</t>
  </si>
  <si>
    <t xml:space="preserve">Ceph Explain</t>
  </si>
  <si>
    <t xml:space="preserve">2026-04-06</t>
  </si>
  <si>
    <t xml:space="preserve">WNBA Flux WNBA Flux</t>
  </si>
  <si>
    <t xml:space="preserve">WarpTube</t>
  </si>
  <si>
    <t xml:space="preserve">Financial  Education After 50</t>
  </si>
  <si>
    <t xml:space="preserve">Niche</t>
  </si>
  <si>
    <t xml:space="preserve"># channels found</t>
  </si>
  <si>
    <t xml:space="preserve"># meeting viral bar</t>
  </si>
  <si>
    <t xml:space="preserve">Avg subscribers</t>
  </si>
  <si>
    <t xml:space="preserve">Max top-video views</t>
  </si>
  <si>
    <t xml:space="preserve"># with 500k+ video</t>
  </si>
  <si>
    <t xml:space="preserve"># active (&lt;=45d)</t>
  </si>
  <si>
    <t xml:space="preserve">Verdict</t>
  </si>
  <si>
    <t xml:space="preserve">Space Facts And Astronomy Explained</t>
  </si>
  <si>
    <t xml:space="preserve">STRONG — multiple sub-10-min explainer channels breaking 500k-1.3M views within months of launch; several still unmonetized (whitespace).</t>
  </si>
  <si>
    <t xml:space="preserve">History Documentary Deep Dive</t>
  </si>
  <si>
    <t xml:space="preserve">MIXED — great virality but many winners run 30-70min (5x+ budget). Stick to short-format history sub-niches only.</t>
  </si>
  <si>
    <t xml:space="preserve">True Crime Case Files</t>
  </si>
  <si>
    <t xml:space="preserve">STRONG but crowded — deep competitor pool, proves demand; favor shorter (10-15min) sub-formats to hit budget.</t>
  </si>
  <si>
    <t xml:space="preserve">Reddit Relationship Stories Aita</t>
  </si>
  <si>
    <t xml:space="preserve">GOOD — very hot right now (several May-June 2026 launches already breaking out); moderate length.</t>
  </si>
  <si>
    <t xml:space="preserve">Psychology And Human Behavior Facts</t>
  </si>
  <si>
    <t xml:space="preserve">STRONG — short format (8-15min), one channel hit 3M views unmonetized; high recreatability.</t>
  </si>
  <si>
    <t xml:space="preserve">Ancient Civilizations And Archaeology Mysteries</t>
  </si>
  <si>
    <t xml:space="preserve">STRONG — one breakout short-doc format (3min!) hit 3.1M views unmonetized; cheap to produce.</t>
  </si>
  <si>
    <t xml:space="preserve">Unsolved Mysteries And Paranormal</t>
  </si>
  <si>
    <t xml:space="preserve">PROMISING but thin sample — one channel is a huge outlier (69.75 score) days-old; needs more competitor validation.</t>
  </si>
  <si>
    <t xml:space="preserve">Motivational Success Stories</t>
  </si>
  <si>
    <t xml:space="preserve">GOOD — several short/cheap formats with 500k-848k view hits; steady evergreen demand.</t>
  </si>
  <si>
    <t xml:space="preserve">Celebrity News And Gossip Drama</t>
  </si>
  <si>
    <t xml:space="preserve">STRONG (high risk/fast) — proven $12k/mo revenue channel, several sub-8-month channels breaking 500k-1.5M.</t>
  </si>
  <si>
    <t xml:space="preserve">Sports Highlights And Recap</t>
  </si>
  <si>
    <t xml:space="preserve">STRONG (high risk/fast) — cheap short recap format hit 2.4M views; fast news cycle = fast content decay too.</t>
  </si>
  <si>
    <t xml:space="preserve">Top 5 Niche Picks</t>
  </si>
  <si>
    <t xml:space="preserve">Ranked by fit against your full brief: virality, size, age, recreatability, budget, competitor depth.</t>
  </si>
  <si>
    <t xml:space="preserve">Rank</t>
  </si>
  <si>
    <t xml:space="preserve">Why it clears your filters</t>
  </si>
  <si>
    <t xml:space="preserve">Example seed channel</t>
  </si>
  <si>
    <t xml:space="preserve">Recreatable with AI + freelancer?</t>
  </si>
  <si>
    <t xml:space="preserve">Space Facts &amp; Astronomy Explainers</t>
  </si>
  <si>
    <t xml:space="preserve">Best-fit niche in this scan. Multiple channels launched Feb-Jun 2026 already breaking 500k-1.3M views on 8-11 min videos — well inside a $20-70 AI+freelancer budget. 'Bluntly Explained' (21.4k subs, outlier 13.35x) and 'Hidden Planet Docs' ($12.3k/mo, 4 videos over 500k) prove both the format and the monetization. Several strong channels (PlanetCam, The Geo Bytes) aren't even monetized yet — that's your entry window.</t>
  </si>
  <si>
    <t xml:space="preserve">Bluntly Explained — 21.4k subs, created 2026-04-14, 3 videos 500k+, avg 9.5min/video</t>
  </si>
  <si>
    <t xml:space="preserve">Yes — AI narration + stock/animated space footage + freelance edit fits budget easily.</t>
  </si>
  <si>
    <t xml:space="preserve">Psychology &amp; Human Behavior Facts</t>
  </si>
  <si>
    <t xml:space="preserve">Short format (8-15min) with outsized breakout potential — 'Axen' hit 3M views on a single video (471s avg length) while still unmonetized. 'Money Simplified' and 'Inside Japan Living' show the format generalizes across adjacent sub-topics (finance psychology, culture facts), meaning you have room to pivot without starting over.</t>
  </si>
  <si>
    <t xml:space="preserve">Axen — 49.2k subs, created 2026-04-28, one video at 3,000,000 views, avg 8min/video</t>
  </si>
  <si>
    <t xml:space="preserve">Yes — talking-point script + AI voiceover + stock/motion-graphic B-roll, short runtime.</t>
  </si>
  <si>
    <t xml:space="preserve">Ancient Civilizations &amp; Archaeology (short-doc format)</t>
  </si>
  <si>
    <t xml:space="preserve">The standout here is format, not just topic: 'Wildcrafted Homes' hit 3.1M views on a 3-minute video and is still unmonetized. That's the cheapest possible production (short script, few AI clips) paired with the highest view-to-cost ratio in the whole scan. Evergreen topic, no news-cycle risk, works for years.</t>
  </si>
  <si>
    <t xml:space="preserve">Wildcrafted Homes — 17.4k subs, created 2026-02-11, one video at 3,100,000 views, avg 3min/video</t>
  </si>
  <si>
    <t xml:space="preserve">Yes — extremely cheap: short AI-narrated clips, minimal editing complexity.</t>
  </si>
  <si>
    <t xml:space="preserve">Celebrity News / Recap Drama (high risk, fast payoff)</t>
  </si>
  <si>
    <t xml:space="preserve">If you want faster (if less stable) results: 'Unfiltered Influence' proves the ceiling — $12.4k/mo, 5.5k subs, 5-of-5 recent videos over 100k views, 2 videos over 500k, on a 6-month-old channel. Deep competitor bench (Star Bluks, Best Choice Recaps, Crown Recaps, Daily Recaps) confirms the format is copyable, not a fluke — but content needs constant refresh and is more exposed to platform/legal risk (name/likeness) than the evergreen picks.</t>
  </si>
  <si>
    <t xml:space="preserve">Unfiltered Influence — 5.5k subs, created 2026-02-12, $12,427/mo, 2 videos 500k+</t>
  </si>
  <si>
    <t xml:space="preserve">Yes, but needs a steady news-scanning workflow (freelancer or you) to keep scripts current.</t>
  </si>
  <si>
    <t xml:space="preserve">Sports Highlights &amp; Recap (high risk, fast payoff)</t>
  </si>
  <si>
    <t xml:space="preserve">'Boxing Vibe' hit 2.4M views on a 6.4-minute video with only 2.9k subscribers — proof a brand new, small channel can catch a single fight/event and break out fast. Trade-off: sports content decays fast and needs to ride a live news cycle, so output cadence matters more than in the evergreen picks above.</t>
  </si>
  <si>
    <t xml:space="preserve">Boxing Vibe — 2.9k subs, created 2026-04-16, one video at 2,400,000 views, avg 6.4min/video</t>
  </si>
  <si>
    <t xml:space="preserve">Yes for recap/highlight format — stock footage + AI commentary, short runtime.</t>
  </si>
  <si>
    <t xml:space="preserve">Also validated, but flagged (see Niche Summary tab for detail):</t>
  </si>
  <si>
    <t xml:space="preserve">• True Crime Case Files — deepest competitor pool of the whole scan (15+ active channels), but most winning videos run 20-40min. Only pursue with a sub-15min format (e.g. 'Verdictly' style) to stay in budget.</t>
  </si>
  <si>
    <t xml:space="preserve">• Reddit Relationship Stories (AITA) — very hot right now (multiple May/June 2026 launches already breaking 100k+), but typical run length is long (40-90min); needs a short-format angle to fit budget.</t>
  </si>
  <si>
    <t xml:space="preserve">• Unsolved Mysteries / Paranormal — one channel ('Impossible Places Global') is an extreme outlier at 2 months old, but the sample size here is thin (3 channels found on this query) — re-query before committing.</t>
  </si>
  <si>
    <t xml:space="preserve">Competitor Lists — Top 5 Picks</t>
  </si>
  <si>
    <t xml:space="preserve">10-15 named, currently-active competitors per niche, sorted by outlier score (highest = strongest breakout). Proof the niche is beatable, not a one-channel fluke.</t>
  </si>
  <si>
    <t xml:space="preserve">Created</t>
  </si>
  <si>
    <t xml:space="preserve">Top video (views)</t>
  </si>
  <si>
    <t xml:space="preserve">Videos &gt;=500k</t>
  </si>
  <si>
    <t xml:space="preserve">Ancient Civilizations &amp; Archaeology</t>
  </si>
  <si>
    <t xml:space="preserve">Celebrity News / Recap Drama</t>
  </si>
  <si>
    <t xml:space="preserve">Sports Highlights &amp; Recap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</si>
</sst>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  <c r="D5" s="4"/>
      <c r="E5" s="4"/>
      <c r="F5" s="4"/>
    </row>
    <row r="7" customFormat="false" ht="15" hidden="false" customHeight="false" outlineLevel="0" collapsed="false">
      <c r="B7" s="5" t="s">
        <v>4</v>
      </c>
    </row>
    <row r="8" customFormat="false" ht="30" hidden="false" customHeight="true" outlineLevel="0" collapsed="false">
      <c r="B8" s="3" t="s">
        <v>5</v>
      </c>
      <c r="C8" s="6" t="s">
        <v>6</v>
      </c>
    </row>
    <row r="9" customFormat="false" ht="30" hidden="false" customHeight="true" outlineLevel="0" collapsed="false">
      <c r="B9" s="3" t="s">
        <v>7</v>
      </c>
      <c r="C9" s="6" t="s">
        <v>8</v>
      </c>
    </row>
    <row r="10" customFormat="false" ht="30" hidden="false" customHeight="true" outlineLevel="0" collapsed="false">
      <c r="B10" s="3" t="s">
        <v>9</v>
      </c>
      <c r="C10" s="6" t="s">
        <v>10</v>
      </c>
    </row>
    <row r="11" customFormat="false" ht="30" hidden="false" customHeight="true" outlineLevel="0" collapsed="false">
      <c r="B11" s="3" t="s">
        <v>11</v>
      </c>
      <c r="C11" s="6" t="s">
        <v>12</v>
      </c>
    </row>
    <row r="13" customFormat="false" ht="15" hidden="false" customHeight="false" outlineLevel="0" collapsed="false">
      <c r="B13" s="5" t="s">
        <v>13</v>
      </c>
    </row>
    <row r="14" customFormat="false" ht="30" hidden="false" customHeight="true" outlineLevel="0" collapsed="false">
      <c r="B14" s="3" t="s">
        <v>14</v>
      </c>
      <c r="C14" s="6" t="s">
        <v>15</v>
      </c>
    </row>
    <row r="15" customFormat="false" ht="30" hidden="false" customHeight="true" outlineLevel="0" collapsed="false">
      <c r="B15" s="3" t="s">
        <v>16</v>
      </c>
      <c r="C15" s="6" t="s">
        <v>17</v>
      </c>
    </row>
    <row r="16" customFormat="false" ht="30" hidden="false" customHeight="true" outlineLevel="0" collapsed="false">
      <c r="B16" s="3" t="s">
        <v>18</v>
      </c>
      <c r="C16" s="6" t="s">
        <v>19</v>
      </c>
    </row>
    <row r="17" customFormat="false" ht="30" hidden="false" customHeight="true" outlineLevel="0" collapsed="false">
      <c r="B17" s="3" t="s">
        <v>20</v>
      </c>
      <c r="C17" s="6" t="s">
        <v>21</v>
      </c>
    </row>
    <row r="18" customFormat="false" ht="30" hidden="false" customHeight="true" outlineLevel="0" collapsed="false">
      <c r="B18" s="3" t="s">
        <v>22</v>
      </c>
      <c r="C18" s="6" t="s">
        <v>23</v>
      </c>
    </row>
    <row r="19" customFormat="false" ht="30" hidden="false" customHeight="true" outlineLevel="0" collapsed="false">
      <c r="B19" s="3" t="s">
        <v>24</v>
      </c>
      <c r="C19" s="6" t="s">
        <v>25</v>
      </c>
    </row>
    <row r="21" customFormat="false" ht="15" hidden="false" customHeight="false" outlineLevel="0" collapsed="false">
      <c r="B21" s="5" t="s">
        <v>26</v>
      </c>
    </row>
    <row r="22" customFormat="false" ht="30" hidden="false" customHeight="true" outlineLevel="0" collapsed="false">
      <c r="B22" s="3" t="s">
        <v>27</v>
      </c>
      <c r="C22" s="6" t="s">
        <v>28</v>
      </c>
    </row>
    <row r="23" customFormat="false" ht="30" hidden="false" customHeight="true" outlineLevel="0" collapsed="false">
      <c r="B23" s="3" t="s">
        <v>29</v>
      </c>
      <c r="C23" s="6" t="s">
        <v>30</v>
      </c>
    </row>
    <row r="24" customFormat="false" ht="30" hidden="false" customHeight="true" outlineLevel="0" collapsed="false">
      <c r="B24" s="3" t="s">
        <v>31</v>
      </c>
      <c r="C24" s="6" t="s">
        <v>32</v>
      </c>
    </row>
    <row r="25" customFormat="false" ht="30" hidden="false" customHeight="true" outlineLevel="0" collapsed="false">
      <c r="B25" s="3" t="s">
        <v>33</v>
      </c>
      <c r="C25" s="6" t="s">
        <v>34</v>
      </c>
    </row>
  </sheetData>
  <mergeCells count="1">
    <mergeCell ref="C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2" min="11" style="0" width="10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0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3" min="22" style="0" width="10"/>
    <col collapsed="false" customWidth="true" hidden="false" outlineLevel="0" max="24" min="24" style="0" width="12"/>
  </cols>
  <sheetData>
    <row r="1" customFormat="false" ht="35.05" hidden="false" customHeight="false" outlineLevel="0" collapsed="false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  <c r="N1" s="7" t="s">
        <v>48</v>
      </c>
      <c r="O1" s="7" t="s">
        <v>49</v>
      </c>
      <c r="P1" s="7" t="s">
        <v>50</v>
      </c>
      <c r="Q1" s="7" t="s">
        <v>51</v>
      </c>
      <c r="R1" s="7" t="s">
        <v>52</v>
      </c>
      <c r="S1" s="7" t="s">
        <v>53</v>
      </c>
      <c r="T1" s="7" t="s">
        <v>54</v>
      </c>
      <c r="U1" s="7" t="s">
        <v>55</v>
      </c>
      <c r="V1" s="7" t="s">
        <v>56</v>
      </c>
      <c r="W1" s="7" t="s">
        <v>57</v>
      </c>
      <c r="X1" s="7" t="s">
        <v>58</v>
      </c>
    </row>
    <row r="2" customFormat="false" ht="23.85" hidden="false" customHeight="false" outlineLevel="0" collapsed="false">
      <c r="A2" s="8" t="s">
        <v>59</v>
      </c>
      <c r="B2" s="9" t="s">
        <v>60</v>
      </c>
      <c r="C2" s="8" t="s">
        <v>61</v>
      </c>
      <c r="D2" s="8" t="n">
        <v>89900</v>
      </c>
      <c r="E2" s="8" t="s">
        <v>62</v>
      </c>
      <c r="F2" s="8" t="s">
        <v>63</v>
      </c>
      <c r="G2" s="8" t="n">
        <v>16.41</v>
      </c>
      <c r="H2" s="8" t="n">
        <v>1680737</v>
      </c>
      <c r="I2" s="8" t="n">
        <v>312953</v>
      </c>
      <c r="J2" s="8" t="n">
        <v>281000</v>
      </c>
      <c r="K2" s="8" t="n">
        <v>0</v>
      </c>
      <c r="L2" s="8" t="n">
        <v>1</v>
      </c>
      <c r="M2" s="8" t="n">
        <v>3</v>
      </c>
      <c r="N2" s="8" t="n">
        <v>77</v>
      </c>
      <c r="O2" s="8" t="n">
        <v>1.75</v>
      </c>
      <c r="P2" s="8" t="n">
        <v>0.7</v>
      </c>
      <c r="Q2" s="8" t="str">
        <f aca="false">IF(P2="","",IF(P2&lt;=30,"Yes","No - 5x+ cost"))</f>
        <v>Yes</v>
      </c>
      <c r="R2" s="8" t="n">
        <v>79.33</v>
      </c>
      <c r="S2" s="8" t="s">
        <v>64</v>
      </c>
      <c r="T2" s="8" t="s">
        <v>65</v>
      </c>
      <c r="U2" s="8" t="s">
        <v>66</v>
      </c>
      <c r="V2" s="8" t="n">
        <v>24</v>
      </c>
      <c r="W2" s="8" t="str">
        <f aca="false">IF(V2="","Unknown",IF(V2&lt;=45,"Active","Stale"))</f>
        <v>Active</v>
      </c>
      <c r="X2" s="8" t="str">
        <f aca="false">IF(AND(K2&gt;=1,M2&gt;0,L2/M2&gt;=0.6,D2&lt;100000),"YES","no")</f>
        <v>no</v>
      </c>
    </row>
    <row r="3" customFormat="false" ht="35.05" hidden="false" customHeight="false" outlineLevel="0" collapsed="false">
      <c r="A3" s="10" t="s">
        <v>67</v>
      </c>
      <c r="B3" s="11" t="s">
        <v>68</v>
      </c>
      <c r="C3" s="10" t="s">
        <v>69</v>
      </c>
      <c r="D3" s="10" t="n">
        <v>73300</v>
      </c>
      <c r="E3" s="10" t="s">
        <v>70</v>
      </c>
      <c r="F3" s="10" t="s">
        <v>63</v>
      </c>
      <c r="G3" s="10" t="n">
        <v>2.78</v>
      </c>
      <c r="H3" s="10" t="n">
        <v>126514</v>
      </c>
      <c r="I3" s="10" t="n">
        <v>53037</v>
      </c>
      <c r="J3" s="10" t="n">
        <v>862000</v>
      </c>
      <c r="K3" s="10" t="n">
        <v>4</v>
      </c>
      <c r="L3" s="10" t="n">
        <v>5</v>
      </c>
      <c r="M3" s="10" t="n">
        <v>5</v>
      </c>
      <c r="N3" s="10" t="n">
        <v>75</v>
      </c>
      <c r="O3" s="10" t="n">
        <v>3.5</v>
      </c>
      <c r="P3" s="10" t="n">
        <v>30.4</v>
      </c>
      <c r="Q3" s="10" t="str">
        <f aca="false">IF(P3="","",IF(P3&lt;=30,"Yes","No - 5x+ cost"))</f>
        <v>No - 5x+ cost</v>
      </c>
      <c r="R3" s="10" t="n">
        <v>12332.77</v>
      </c>
      <c r="S3" s="10" t="s">
        <v>64</v>
      </c>
      <c r="T3" s="10" t="s">
        <v>64</v>
      </c>
      <c r="U3" s="10" t="s">
        <v>71</v>
      </c>
      <c r="V3" s="10" t="n">
        <v>4</v>
      </c>
      <c r="W3" s="10" t="str">
        <f aca="false">IF(V3="","Unknown",IF(V3&lt;=45,"Active","Stale"))</f>
        <v>Active</v>
      </c>
      <c r="X3" s="10" t="str">
        <f aca="false">IF(AND(K3&gt;=1,M3&gt;0,L3/M3&gt;=0.6,D3&lt;100000),"YES","no")</f>
        <v>YES</v>
      </c>
    </row>
    <row r="4" customFormat="false" ht="23.85" hidden="false" customHeight="false" outlineLevel="0" collapsed="false">
      <c r="A4" s="8" t="s">
        <v>72</v>
      </c>
      <c r="B4" s="9" t="s">
        <v>73</v>
      </c>
      <c r="C4" s="8" t="s">
        <v>61</v>
      </c>
      <c r="D4" s="8" t="n">
        <v>49200</v>
      </c>
      <c r="E4" s="8" t="s">
        <v>74</v>
      </c>
      <c r="F4" s="8" t="s">
        <v>63</v>
      </c>
      <c r="G4" s="8" t="n">
        <v>2.66</v>
      </c>
      <c r="H4" s="8" t="n">
        <v>461753</v>
      </c>
      <c r="I4" s="8" t="n">
        <v>25819</v>
      </c>
      <c r="J4" s="8" t="n">
        <v>3000000</v>
      </c>
      <c r="K4" s="8" t="n">
        <v>3</v>
      </c>
      <c r="L4" s="8" t="n">
        <v>4</v>
      </c>
      <c r="M4" s="8" t="n">
        <v>5</v>
      </c>
      <c r="N4" s="8" t="n">
        <v>11</v>
      </c>
      <c r="O4" s="8" t="n">
        <v>0</v>
      </c>
      <c r="P4" s="8" t="n">
        <v>7.9</v>
      </c>
      <c r="Q4" s="8" t="str">
        <f aca="false">IF(P4="","",IF(P4&lt;=30,"Yes","No - 5x+ cost"))</f>
        <v>Yes</v>
      </c>
      <c r="R4" s="8" t="n">
        <v>0</v>
      </c>
      <c r="S4" s="8" t="s">
        <v>65</v>
      </c>
      <c r="T4" s="8" t="s">
        <v>64</v>
      </c>
      <c r="U4" s="8" t="s">
        <v>75</v>
      </c>
      <c r="V4" s="8" t="n">
        <v>37</v>
      </c>
      <c r="W4" s="8" t="str">
        <f aca="false">IF(V4="","Unknown",IF(V4&lt;=45,"Active","Stale"))</f>
        <v>Active</v>
      </c>
      <c r="X4" s="8" t="str">
        <f aca="false">IF(AND(K4&gt;=1,M4&gt;0,L4/M4&gt;=0.6,D4&lt;100000),"YES","no")</f>
        <v>YES</v>
      </c>
    </row>
    <row r="5" customFormat="false" ht="15" hidden="false" customHeight="false" outlineLevel="0" collapsed="false">
      <c r="A5" s="10" t="s">
        <v>76</v>
      </c>
      <c r="B5" s="11" t="s">
        <v>77</v>
      </c>
      <c r="C5" s="10" t="s">
        <v>78</v>
      </c>
      <c r="D5" s="10" t="n">
        <v>37700</v>
      </c>
      <c r="E5" s="10" t="s">
        <v>79</v>
      </c>
      <c r="F5" s="10" t="s">
        <v>63</v>
      </c>
      <c r="G5" s="10" t="n">
        <v>8.65</v>
      </c>
      <c r="H5" s="10" t="n">
        <v>85838</v>
      </c>
      <c r="I5" s="10" t="n">
        <v>84045</v>
      </c>
      <c r="J5" s="10" t="n">
        <v>140000</v>
      </c>
      <c r="K5" s="10" t="n">
        <v>0</v>
      </c>
      <c r="L5" s="10" t="n">
        <v>3</v>
      </c>
      <c r="M5" s="10" t="n">
        <v>5</v>
      </c>
      <c r="N5" s="10" t="n">
        <v>9</v>
      </c>
      <c r="O5" s="10" t="n">
        <v>1</v>
      </c>
      <c r="P5" s="10" t="n">
        <v>22.3</v>
      </c>
      <c r="Q5" s="10" t="str">
        <f aca="false">IF(P5="","",IF(P5&lt;=30,"Yes","No - 5x+ cost"))</f>
        <v>Yes</v>
      </c>
      <c r="R5" s="10" t="n">
        <v>819.11</v>
      </c>
      <c r="S5" s="10" t="s">
        <v>64</v>
      </c>
      <c r="T5" s="10" t="s">
        <v>65</v>
      </c>
      <c r="U5" s="10" t="s">
        <v>80</v>
      </c>
      <c r="V5" s="10" t="n">
        <v>9</v>
      </c>
      <c r="W5" s="10" t="str">
        <f aca="false">IF(V5="","Unknown",IF(V5&lt;=45,"Active","Stale"))</f>
        <v>Active</v>
      </c>
      <c r="X5" s="10" t="str">
        <f aca="false">IF(AND(K5&gt;=1,M5&gt;0,L5/M5&gt;=0.6,D5&lt;100000),"YES","no")</f>
        <v>no</v>
      </c>
    </row>
    <row r="6" customFormat="false" ht="15" hidden="false" customHeight="false" outlineLevel="0" collapsed="false">
      <c r="A6" s="8" t="s">
        <v>81</v>
      </c>
      <c r="B6" s="9" t="s">
        <v>82</v>
      </c>
      <c r="C6" s="8" t="s">
        <v>61</v>
      </c>
      <c r="D6" s="8" t="n">
        <v>36400</v>
      </c>
      <c r="E6" s="8" t="s">
        <v>83</v>
      </c>
      <c r="F6" s="8" t="s">
        <v>63</v>
      </c>
      <c r="G6" s="8" t="n">
        <v>2.7</v>
      </c>
      <c r="H6" s="8" t="n">
        <v>962440</v>
      </c>
      <c r="I6" s="8" t="n">
        <v>26190</v>
      </c>
      <c r="J6" s="8" t="n">
        <v>405000</v>
      </c>
      <c r="K6" s="8" t="n">
        <v>0</v>
      </c>
      <c r="L6" s="8" t="n">
        <v>1</v>
      </c>
      <c r="M6" s="8" t="n">
        <v>3</v>
      </c>
      <c r="N6" s="8" t="n">
        <v>28</v>
      </c>
      <c r="O6" s="8" t="n">
        <v>0</v>
      </c>
      <c r="P6" s="8" t="n">
        <v>0.9</v>
      </c>
      <c r="Q6" s="8" t="str">
        <f aca="false">IF(P6="","",IF(P6&lt;=30,"Yes","No - 5x+ cost"))</f>
        <v>Yes</v>
      </c>
      <c r="R6" s="8" t="n">
        <v>0</v>
      </c>
      <c r="S6" s="8" t="s">
        <v>65</v>
      </c>
      <c r="T6" s="8" t="s">
        <v>64</v>
      </c>
      <c r="U6" s="8" t="s">
        <v>84</v>
      </c>
      <c r="V6" s="8" t="n">
        <v>74</v>
      </c>
      <c r="W6" s="8" t="str">
        <f aca="false">IF(V6="","Unknown",IF(V6&lt;=45,"Active","Stale"))</f>
        <v>Stale</v>
      </c>
      <c r="X6" s="8" t="str">
        <f aca="false">IF(AND(K6&gt;=1,M6&gt;0,L6/M6&gt;=0.6,D6&lt;100000),"YES","no")</f>
        <v>no</v>
      </c>
    </row>
    <row r="7" customFormat="false" ht="23.85" hidden="false" customHeight="false" outlineLevel="0" collapsed="false">
      <c r="A7" s="10" t="s">
        <v>85</v>
      </c>
      <c r="B7" s="11" t="s">
        <v>86</v>
      </c>
      <c r="C7" s="10" t="s">
        <v>61</v>
      </c>
      <c r="D7" s="10" t="n">
        <v>35800</v>
      </c>
      <c r="E7" s="10" t="s">
        <v>87</v>
      </c>
      <c r="F7" s="10" t="s">
        <v>63</v>
      </c>
      <c r="G7" s="10" t="n">
        <v>10.12</v>
      </c>
      <c r="H7" s="10" t="n">
        <v>116583</v>
      </c>
      <c r="I7" s="10" t="n">
        <v>98351</v>
      </c>
      <c r="J7" s="10" t="n">
        <v>371000</v>
      </c>
      <c r="K7" s="10" t="n">
        <v>0</v>
      </c>
      <c r="L7" s="10" t="n">
        <v>5</v>
      </c>
      <c r="M7" s="10" t="n">
        <v>5</v>
      </c>
      <c r="N7" s="10" t="n">
        <v>17</v>
      </c>
      <c r="O7" s="10" t="n">
        <v>0</v>
      </c>
      <c r="P7" s="10" t="n">
        <v>71.4</v>
      </c>
      <c r="Q7" s="10" t="str">
        <f aca="false">IF(P7="","",IF(P7&lt;=30,"Yes","No - 5x+ cost"))</f>
        <v>No - 5x+ cost</v>
      </c>
      <c r="R7" s="10" t="n">
        <v>0</v>
      </c>
      <c r="S7" s="10" t="s">
        <v>65</v>
      </c>
      <c r="T7" s="10" t="s">
        <v>64</v>
      </c>
      <c r="U7" s="10" t="s">
        <v>88</v>
      </c>
      <c r="V7" s="10" t="n">
        <v>87</v>
      </c>
      <c r="W7" s="10" t="str">
        <f aca="false">IF(V7="","Unknown",IF(V7&lt;=45,"Active","Stale"))</f>
        <v>Stale</v>
      </c>
      <c r="X7" s="10" t="str">
        <f aca="false">IF(AND(K7&gt;=1,M7&gt;0,L7/M7&gt;=0.6,D7&lt;100000),"YES","no")</f>
        <v>no</v>
      </c>
    </row>
    <row r="8" customFormat="false" ht="23.85" hidden="false" customHeight="false" outlineLevel="0" collapsed="false">
      <c r="A8" s="8" t="s">
        <v>89</v>
      </c>
      <c r="B8" s="9" t="s">
        <v>90</v>
      </c>
      <c r="C8" s="8" t="s">
        <v>91</v>
      </c>
      <c r="D8" s="8" t="n">
        <v>34100</v>
      </c>
      <c r="E8" s="8" t="s">
        <v>92</v>
      </c>
      <c r="F8" s="8" t="s">
        <v>63</v>
      </c>
      <c r="G8" s="8" t="n">
        <v>16.14</v>
      </c>
      <c r="H8" s="8" t="n">
        <v>211880</v>
      </c>
      <c r="I8" s="8" t="n">
        <v>157292</v>
      </c>
      <c r="J8" s="8" t="n">
        <v>758000</v>
      </c>
      <c r="K8" s="8" t="n">
        <v>1</v>
      </c>
      <c r="L8" s="8" t="n">
        <v>5</v>
      </c>
      <c r="M8" s="8" t="n">
        <v>5</v>
      </c>
      <c r="N8" s="8" t="n">
        <v>23</v>
      </c>
      <c r="O8" s="8" t="n">
        <v>0</v>
      </c>
      <c r="P8" s="8" t="n">
        <v>86.3</v>
      </c>
      <c r="Q8" s="8" t="str">
        <f aca="false">IF(P8="","",IF(P8&lt;=30,"Yes","No - 5x+ cost"))</f>
        <v>No - 5x+ cost</v>
      </c>
      <c r="R8" s="8" t="n">
        <v>0</v>
      </c>
      <c r="S8" s="8" t="s">
        <v>65</v>
      </c>
      <c r="T8" s="8" t="s">
        <v>64</v>
      </c>
      <c r="U8" s="8" t="s">
        <v>87</v>
      </c>
      <c r="V8" s="8" t="n">
        <v>109</v>
      </c>
      <c r="W8" s="8" t="str">
        <f aca="false">IF(V8="","Unknown",IF(V8&lt;=45,"Active","Stale"))</f>
        <v>Stale</v>
      </c>
      <c r="X8" s="8" t="str">
        <f aca="false">IF(AND(K8&gt;=1,M8&gt;0,L8/M8&gt;=0.6,D8&lt;100000),"YES","no")</f>
        <v>YES</v>
      </c>
    </row>
    <row r="9" customFormat="false" ht="23.85" hidden="false" customHeight="false" outlineLevel="0" collapsed="false">
      <c r="A9" s="10" t="s">
        <v>93</v>
      </c>
      <c r="B9" s="11" t="s">
        <v>94</v>
      </c>
      <c r="C9" s="10" t="s">
        <v>61</v>
      </c>
      <c r="D9" s="10" t="n">
        <v>33100</v>
      </c>
      <c r="E9" s="10" t="s">
        <v>95</v>
      </c>
      <c r="F9" s="10" t="s">
        <v>63</v>
      </c>
      <c r="G9" s="10" t="n">
        <v>2.21</v>
      </c>
      <c r="H9" s="10" t="n">
        <v>59401</v>
      </c>
      <c r="I9" s="10" t="n">
        <v>21440</v>
      </c>
      <c r="J9" s="10" t="n">
        <v>376000</v>
      </c>
      <c r="K9" s="10" t="n">
        <v>0</v>
      </c>
      <c r="L9" s="10" t="n">
        <v>4</v>
      </c>
      <c r="M9" s="10" t="n">
        <v>5</v>
      </c>
      <c r="N9" s="10" t="n">
        <v>22</v>
      </c>
      <c r="O9" s="10" t="n">
        <v>4</v>
      </c>
      <c r="P9" s="10" t="n">
        <v>30.2</v>
      </c>
      <c r="Q9" s="10" t="str">
        <f aca="false">IF(P9="","",IF(P9&lt;=30,"Yes","No - 5x+ cost"))</f>
        <v>No - 5x+ cost</v>
      </c>
      <c r="R9" s="10" t="n">
        <v>5324.11</v>
      </c>
      <c r="S9" s="10" t="s">
        <v>64</v>
      </c>
      <c r="T9" s="10" t="s">
        <v>64</v>
      </c>
      <c r="U9" s="10" t="s">
        <v>71</v>
      </c>
      <c r="V9" s="10" t="n">
        <v>4</v>
      </c>
      <c r="W9" s="10" t="str">
        <f aca="false">IF(V9="","Unknown",IF(V9&lt;=45,"Active","Stale"))</f>
        <v>Active</v>
      </c>
      <c r="X9" s="10" t="str">
        <f aca="false">IF(AND(K9&gt;=1,M9&gt;0,L9/M9&gt;=0.6,D9&lt;100000),"YES","no")</f>
        <v>no</v>
      </c>
    </row>
    <row r="10" customFormat="false" ht="23.85" hidden="false" customHeight="false" outlineLevel="0" collapsed="false">
      <c r="A10" s="8" t="s">
        <v>96</v>
      </c>
      <c r="B10" s="9" t="s">
        <v>97</v>
      </c>
      <c r="C10" s="8" t="s">
        <v>98</v>
      </c>
      <c r="D10" s="8" t="n">
        <v>32200</v>
      </c>
      <c r="E10" s="8" t="s">
        <v>99</v>
      </c>
      <c r="F10" s="8" t="s">
        <v>63</v>
      </c>
      <c r="G10" s="8" t="n">
        <v>34.45</v>
      </c>
      <c r="H10" s="8" t="n">
        <v>536583</v>
      </c>
      <c r="I10" s="8" t="n">
        <v>334702</v>
      </c>
      <c r="J10" s="8" t="n">
        <v>22000</v>
      </c>
      <c r="K10" s="8" t="n">
        <v>0</v>
      </c>
      <c r="L10" s="8" t="n">
        <v>0</v>
      </c>
      <c r="M10" s="8" t="n">
        <v>2</v>
      </c>
      <c r="N10" s="8" t="n">
        <v>94</v>
      </c>
      <c r="O10" s="8" t="n">
        <v>5.5</v>
      </c>
      <c r="P10" s="8" t="n">
        <v>1</v>
      </c>
      <c r="Q10" s="8" t="str">
        <f aca="false">IF(P10="","",IF(P10&lt;=30,"Yes","No - 5x+ cost"))</f>
        <v>Yes</v>
      </c>
      <c r="R10" s="8" t="n">
        <v>22.28</v>
      </c>
      <c r="S10" s="8" t="s">
        <v>64</v>
      </c>
      <c r="T10" s="8" t="s">
        <v>64</v>
      </c>
      <c r="U10" s="8" t="s">
        <v>71</v>
      </c>
      <c r="V10" s="8" t="n">
        <v>4</v>
      </c>
      <c r="W10" s="8" t="str">
        <f aca="false">IF(V10="","Unknown",IF(V10&lt;=45,"Active","Stale"))</f>
        <v>Active</v>
      </c>
      <c r="X10" s="8" t="str">
        <f aca="false">IF(AND(K10&gt;=1,M10&gt;0,L10/M10&gt;=0.6,D10&lt;100000),"YES","no")</f>
        <v>no</v>
      </c>
    </row>
    <row r="11" customFormat="false" ht="15" hidden="false" customHeight="false" outlineLevel="0" collapsed="false">
      <c r="A11" s="10" t="s">
        <v>100</v>
      </c>
      <c r="B11" s="11" t="s">
        <v>82</v>
      </c>
      <c r="C11" s="10" t="s">
        <v>61</v>
      </c>
      <c r="D11" s="10" t="n">
        <v>30400</v>
      </c>
      <c r="E11" s="10" t="s">
        <v>74</v>
      </c>
      <c r="F11" s="10" t="s">
        <v>63</v>
      </c>
      <c r="G11" s="10" t="n">
        <v>3.53</v>
      </c>
      <c r="H11" s="10" t="n">
        <v>114539</v>
      </c>
      <c r="I11" s="10" t="n">
        <v>34315</v>
      </c>
      <c r="J11" s="10" t="n">
        <v>575000</v>
      </c>
      <c r="K11" s="10" t="n">
        <v>1</v>
      </c>
      <c r="L11" s="10" t="n">
        <v>5</v>
      </c>
      <c r="M11" s="10" t="n">
        <v>5</v>
      </c>
      <c r="N11" s="10" t="n">
        <v>29</v>
      </c>
      <c r="O11" s="10" t="n">
        <v>1</v>
      </c>
      <c r="P11" s="10" t="n">
        <v>9.6</v>
      </c>
      <c r="Q11" s="10" t="str">
        <f aca="false">IF(P11="","",IF(P11&lt;=30,"Yes","No - 5x+ cost"))</f>
        <v>Yes</v>
      </c>
      <c r="R11" s="10" t="n">
        <v>3510.47</v>
      </c>
      <c r="S11" s="10" t="s">
        <v>64</v>
      </c>
      <c r="T11" s="10" t="s">
        <v>65</v>
      </c>
      <c r="U11" s="10" t="s">
        <v>101</v>
      </c>
      <c r="V11" s="10" t="n">
        <v>10</v>
      </c>
      <c r="W11" s="10" t="str">
        <f aca="false">IF(V11="","Unknown",IF(V11&lt;=45,"Active","Stale"))</f>
        <v>Active</v>
      </c>
      <c r="X11" s="10" t="str">
        <f aca="false">IF(AND(K11&gt;=1,M11&gt;0,L11/M11&gt;=0.6,D11&lt;100000),"YES","no")</f>
        <v>YES</v>
      </c>
    </row>
    <row r="12" customFormat="false" ht="35.05" hidden="false" customHeight="false" outlineLevel="0" collapsed="false">
      <c r="A12" s="8" t="s">
        <v>102</v>
      </c>
      <c r="B12" s="9" t="s">
        <v>103</v>
      </c>
      <c r="C12" s="8" t="s">
        <v>69</v>
      </c>
      <c r="D12" s="8" t="n">
        <v>29200</v>
      </c>
      <c r="E12" s="8" t="s">
        <v>70</v>
      </c>
      <c r="F12" s="8" t="s">
        <v>63</v>
      </c>
      <c r="G12" s="8" t="n">
        <v>16.95</v>
      </c>
      <c r="H12" s="8" t="n">
        <v>329336</v>
      </c>
      <c r="I12" s="8" t="n">
        <v>164636</v>
      </c>
      <c r="J12" s="8" t="n">
        <v>1300000</v>
      </c>
      <c r="K12" s="8" t="n">
        <v>5</v>
      </c>
      <c r="L12" s="8" t="n">
        <v>5</v>
      </c>
      <c r="M12" s="8" t="n">
        <v>5</v>
      </c>
      <c r="N12" s="8" t="n">
        <v>18</v>
      </c>
      <c r="O12" s="8" t="n">
        <v>0</v>
      </c>
      <c r="P12" s="8" t="n">
        <v>36.3</v>
      </c>
      <c r="Q12" s="8" t="str">
        <f aca="false">IF(P12="","",IF(P12&lt;=30,"Yes","No - 5x+ cost"))</f>
        <v>No - 5x+ cost</v>
      </c>
      <c r="R12" s="8" t="n">
        <v>0</v>
      </c>
      <c r="S12" s="8" t="s">
        <v>65</v>
      </c>
      <c r="T12" s="8" t="s">
        <v>65</v>
      </c>
      <c r="U12" s="8" t="s">
        <v>104</v>
      </c>
      <c r="V12" s="8" t="n">
        <v>49</v>
      </c>
      <c r="W12" s="8" t="str">
        <f aca="false">IF(V12="","Unknown",IF(V12&lt;=45,"Active","Stale"))</f>
        <v>Stale</v>
      </c>
      <c r="X12" s="8" t="str">
        <f aca="false">IF(AND(K12&gt;=1,M12&gt;0,L12/M12&gt;=0.6,D12&lt;100000),"YES","no")</f>
        <v>YES</v>
      </c>
    </row>
    <row r="13" customFormat="false" ht="15" hidden="false" customHeight="false" outlineLevel="0" collapsed="false">
      <c r="A13" s="10" t="s">
        <v>105</v>
      </c>
      <c r="B13" s="11" t="s">
        <v>106</v>
      </c>
      <c r="C13" s="10" t="s">
        <v>61</v>
      </c>
      <c r="D13" s="10" t="n">
        <v>25700</v>
      </c>
      <c r="E13" s="10" t="s">
        <v>88</v>
      </c>
      <c r="F13" s="10" t="s">
        <v>63</v>
      </c>
      <c r="G13" s="10" t="n">
        <v>2.77</v>
      </c>
      <c r="H13" s="10" t="n">
        <v>81210</v>
      </c>
      <c r="I13" s="10" t="n">
        <v>26918</v>
      </c>
      <c r="J13" s="10" t="n">
        <v>807000</v>
      </c>
      <c r="K13" s="10" t="n">
        <v>1</v>
      </c>
      <c r="L13" s="10" t="n">
        <v>4</v>
      </c>
      <c r="M13" s="10" t="n">
        <v>5</v>
      </c>
      <c r="N13" s="10" t="n">
        <v>24</v>
      </c>
      <c r="O13" s="10" t="n">
        <v>2.5</v>
      </c>
      <c r="P13" s="10" t="n">
        <v>21.5</v>
      </c>
      <c r="Q13" s="10" t="str">
        <f aca="false">IF(P13="","",IF(P13&lt;=30,"Yes","No - 5x+ cost"))</f>
        <v>Yes</v>
      </c>
      <c r="R13" s="10" t="n">
        <v>3349.9</v>
      </c>
      <c r="S13" s="10" t="s">
        <v>64</v>
      </c>
      <c r="T13" s="10" t="s">
        <v>64</v>
      </c>
      <c r="U13" s="10" t="s">
        <v>71</v>
      </c>
      <c r="V13" s="10" t="n">
        <v>4</v>
      </c>
      <c r="W13" s="10" t="str">
        <f aca="false">IF(V13="","Unknown",IF(V13&lt;=45,"Active","Stale"))</f>
        <v>Active</v>
      </c>
      <c r="X13" s="10" t="str">
        <f aca="false">IF(AND(K13&gt;=1,M13&gt;0,L13/M13&gt;=0.6,D13&lt;100000),"YES","no")</f>
        <v>YES</v>
      </c>
    </row>
    <row r="14" customFormat="false" ht="15" hidden="false" customHeight="false" outlineLevel="0" collapsed="false">
      <c r="A14" s="8" t="s">
        <v>107</v>
      </c>
      <c r="B14" s="9" t="s">
        <v>106</v>
      </c>
      <c r="C14" s="8" t="s">
        <v>61</v>
      </c>
      <c r="D14" s="8" t="n">
        <v>25300</v>
      </c>
      <c r="E14" s="8" t="s">
        <v>108</v>
      </c>
      <c r="F14" s="8" t="s">
        <v>63</v>
      </c>
      <c r="G14" s="8" t="n">
        <v>5.98</v>
      </c>
      <c r="H14" s="8" t="n">
        <v>119652</v>
      </c>
      <c r="I14" s="8" t="n">
        <v>58084</v>
      </c>
      <c r="J14" s="8" t="n">
        <v>596000</v>
      </c>
      <c r="K14" s="8" t="n">
        <v>1</v>
      </c>
      <c r="L14" s="8" t="n">
        <v>5</v>
      </c>
      <c r="M14" s="8" t="n">
        <v>5</v>
      </c>
      <c r="N14" s="8" t="n">
        <v>18</v>
      </c>
      <c r="O14" s="8" t="n">
        <v>0</v>
      </c>
      <c r="P14" s="8" t="n">
        <v>17.1</v>
      </c>
      <c r="Q14" s="8" t="str">
        <f aca="false">IF(P14="","",IF(P14&lt;=30,"Yes","No - 5x+ cost"))</f>
        <v>Yes</v>
      </c>
      <c r="R14" s="8" t="n">
        <v>0</v>
      </c>
      <c r="S14" s="8" t="s">
        <v>65</v>
      </c>
      <c r="T14" s="8" t="s">
        <v>65</v>
      </c>
      <c r="U14" s="8" t="s">
        <v>109</v>
      </c>
      <c r="V14" s="8" t="n">
        <v>59</v>
      </c>
      <c r="W14" s="8" t="str">
        <f aca="false">IF(V14="","Unknown",IF(V14&lt;=45,"Active","Stale"))</f>
        <v>Stale</v>
      </c>
      <c r="X14" s="8" t="str">
        <f aca="false">IF(AND(K14&gt;=1,M14&gt;0,L14/M14&gt;=0.6,D14&lt;100000),"YES","no")</f>
        <v>YES</v>
      </c>
    </row>
    <row r="15" customFormat="false" ht="15" hidden="false" customHeight="false" outlineLevel="0" collapsed="false">
      <c r="A15" s="10" t="s">
        <v>110</v>
      </c>
      <c r="B15" s="11" t="s">
        <v>111</v>
      </c>
      <c r="C15" s="10" t="s">
        <v>61</v>
      </c>
      <c r="D15" s="10" t="n">
        <v>22800</v>
      </c>
      <c r="E15" s="10" t="s">
        <v>112</v>
      </c>
      <c r="F15" s="10" t="s">
        <v>63</v>
      </c>
      <c r="G15" s="10" t="n">
        <v>3.88</v>
      </c>
      <c r="H15" s="10" t="n">
        <v>236633</v>
      </c>
      <c r="I15" s="10" t="n">
        <v>37657</v>
      </c>
      <c r="J15" s="10" t="n">
        <v>428000</v>
      </c>
      <c r="K15" s="10" t="n">
        <v>0</v>
      </c>
      <c r="L15" s="10" t="n">
        <v>2</v>
      </c>
      <c r="M15" s="10" t="n">
        <v>5</v>
      </c>
      <c r="N15" s="10" t="n">
        <v>41</v>
      </c>
      <c r="O15" s="10" t="n">
        <v>1.25</v>
      </c>
      <c r="P15" s="10" t="n">
        <v>4</v>
      </c>
      <c r="Q15" s="10" t="str">
        <f aca="false">IF(P15="","",IF(P15&lt;=30,"Yes","No - 5x+ cost"))</f>
        <v>Yes</v>
      </c>
      <c r="R15" s="10" t="n">
        <v>312.79</v>
      </c>
      <c r="S15" s="10" t="s">
        <v>64</v>
      </c>
      <c r="T15" s="10" t="s">
        <v>64</v>
      </c>
      <c r="U15" s="10" t="s">
        <v>80</v>
      </c>
      <c r="V15" s="10" t="n">
        <v>9</v>
      </c>
      <c r="W15" s="10" t="str">
        <f aca="false">IF(V15="","Unknown",IF(V15&lt;=45,"Active","Stale"))</f>
        <v>Active</v>
      </c>
      <c r="X15" s="10" t="str">
        <f aca="false">IF(AND(K15&gt;=1,M15&gt;0,L15/M15&gt;=0.6,D15&lt;100000),"YES","no")</f>
        <v>no</v>
      </c>
    </row>
    <row r="16" customFormat="false" ht="15" hidden="false" customHeight="false" outlineLevel="0" collapsed="false">
      <c r="A16" s="8" t="s">
        <v>113</v>
      </c>
      <c r="B16" s="9" t="s">
        <v>82</v>
      </c>
      <c r="C16" s="8" t="s">
        <v>61</v>
      </c>
      <c r="D16" s="8" t="n">
        <v>21400</v>
      </c>
      <c r="E16" s="8" t="s">
        <v>114</v>
      </c>
      <c r="F16" s="8" t="s">
        <v>63</v>
      </c>
      <c r="G16" s="8" t="n">
        <v>13.35</v>
      </c>
      <c r="H16" s="8" t="n">
        <v>269166</v>
      </c>
      <c r="I16" s="8" t="n">
        <v>129730</v>
      </c>
      <c r="J16" s="8" t="n">
        <v>1300000</v>
      </c>
      <c r="K16" s="8" t="n">
        <v>3</v>
      </c>
      <c r="L16" s="8" t="n">
        <v>5</v>
      </c>
      <c r="M16" s="8" t="n">
        <v>5</v>
      </c>
      <c r="N16" s="8" t="n">
        <v>13</v>
      </c>
      <c r="O16" s="8" t="n">
        <v>0.75</v>
      </c>
      <c r="P16" s="8" t="n">
        <v>9.5</v>
      </c>
      <c r="Q16" s="8" t="str">
        <f aca="false">IF(P16="","",IF(P16&lt;=30,"Yes","No - 5x+ cost"))</f>
        <v>Yes</v>
      </c>
      <c r="R16" s="8" t="n">
        <v>3756.84</v>
      </c>
      <c r="S16" s="8" t="s">
        <v>64</v>
      </c>
      <c r="T16" s="8" t="s">
        <v>64</v>
      </c>
      <c r="U16" s="8" t="s">
        <v>115</v>
      </c>
      <c r="V16" s="8" t="n">
        <v>7</v>
      </c>
      <c r="W16" s="8" t="str">
        <f aca="false">IF(V16="","Unknown",IF(V16&lt;=45,"Active","Stale"))</f>
        <v>Active</v>
      </c>
      <c r="X16" s="8" t="str">
        <f aca="false">IF(AND(K16&gt;=1,M16&gt;0,L16/M16&gt;=0.6,D16&lt;100000),"YES","no")</f>
        <v>YES</v>
      </c>
    </row>
    <row r="17" customFormat="false" ht="15" hidden="false" customHeight="false" outlineLevel="0" collapsed="false">
      <c r="A17" s="10" t="s">
        <v>116</v>
      </c>
      <c r="B17" s="11" t="s">
        <v>117</v>
      </c>
      <c r="C17" s="10" t="s">
        <v>118</v>
      </c>
      <c r="D17" s="10" t="n">
        <v>19000</v>
      </c>
      <c r="E17" s="10" t="s">
        <v>119</v>
      </c>
      <c r="F17" s="10" t="s">
        <v>63</v>
      </c>
      <c r="G17" s="10" t="n">
        <v>14.3</v>
      </c>
      <c r="H17" s="10" t="n">
        <v>570347</v>
      </c>
      <c r="I17" s="10" t="n">
        <v>138883</v>
      </c>
      <c r="J17" s="10" t="n">
        <v>2200000</v>
      </c>
      <c r="K17" s="10" t="n">
        <v>5</v>
      </c>
      <c r="L17" s="10" t="n">
        <v>5</v>
      </c>
      <c r="M17" s="10" t="n">
        <v>5</v>
      </c>
      <c r="N17" s="10" t="n">
        <v>15</v>
      </c>
      <c r="O17" s="10" t="n">
        <v>0</v>
      </c>
      <c r="P17" s="10" t="n">
        <v>10.3</v>
      </c>
      <c r="Q17" s="10" t="str">
        <f aca="false">IF(P17="","",IF(P17&lt;=30,"Yes","No - 5x+ cost"))</f>
        <v>Yes</v>
      </c>
      <c r="R17" s="10" t="n">
        <v>0</v>
      </c>
      <c r="S17" s="10" t="s">
        <v>65</v>
      </c>
      <c r="T17" s="10" t="s">
        <v>64</v>
      </c>
      <c r="U17" s="10" t="s">
        <v>120</v>
      </c>
      <c r="V17" s="10" t="n">
        <v>104</v>
      </c>
      <c r="W17" s="10" t="str">
        <f aca="false">IF(V17="","Unknown",IF(V17&lt;=45,"Active","Stale"))</f>
        <v>Stale</v>
      </c>
      <c r="X17" s="10" t="str">
        <f aca="false">IF(AND(K17&gt;=1,M17&gt;0,L17/M17&gt;=0.6,D17&lt;100000),"YES","no")</f>
        <v>YES</v>
      </c>
    </row>
    <row r="18" customFormat="false" ht="15" hidden="false" customHeight="false" outlineLevel="0" collapsed="false">
      <c r="A18" s="8" t="s">
        <v>121</v>
      </c>
      <c r="B18" s="9" t="s">
        <v>122</v>
      </c>
      <c r="C18" s="8" t="s">
        <v>61</v>
      </c>
      <c r="D18" s="8" t="n">
        <v>17400</v>
      </c>
      <c r="E18" s="8" t="s">
        <v>92</v>
      </c>
      <c r="F18" s="8" t="s">
        <v>63</v>
      </c>
      <c r="G18" s="8" t="n">
        <v>4.71</v>
      </c>
      <c r="H18" s="8" t="n">
        <v>325330</v>
      </c>
      <c r="I18" s="8" t="n">
        <v>45805</v>
      </c>
      <c r="J18" s="8" t="n">
        <v>3100000</v>
      </c>
      <c r="K18" s="8" t="n">
        <v>2</v>
      </c>
      <c r="L18" s="8" t="n">
        <v>5</v>
      </c>
      <c r="M18" s="8" t="n">
        <v>5</v>
      </c>
      <c r="N18" s="8" t="n">
        <v>43</v>
      </c>
      <c r="O18" s="8" t="n">
        <v>0</v>
      </c>
      <c r="P18" s="8" t="n">
        <v>3</v>
      </c>
      <c r="Q18" s="8" t="str">
        <f aca="false">IF(P18="","",IF(P18&lt;=30,"Yes","No - 5x+ cost"))</f>
        <v>Yes</v>
      </c>
      <c r="R18" s="8" t="n">
        <v>0</v>
      </c>
      <c r="S18" s="8" t="s">
        <v>65</v>
      </c>
      <c r="T18" s="8" t="s">
        <v>64</v>
      </c>
      <c r="U18" s="8" t="s">
        <v>123</v>
      </c>
      <c r="V18" s="8" t="n">
        <v>108</v>
      </c>
      <c r="W18" s="8" t="str">
        <f aca="false">IF(V18="","Unknown",IF(V18&lt;=45,"Active","Stale"))</f>
        <v>Stale</v>
      </c>
      <c r="X18" s="8" t="str">
        <f aca="false">IF(AND(K18&gt;=1,M18&gt;0,L18/M18&gt;=0.6,D18&lt;100000),"YES","no")</f>
        <v>YES</v>
      </c>
    </row>
    <row r="19" customFormat="false" ht="23.85" hidden="false" customHeight="false" outlineLevel="0" collapsed="false">
      <c r="A19" s="10" t="s">
        <v>124</v>
      </c>
      <c r="B19" s="11" t="s">
        <v>125</v>
      </c>
      <c r="C19" s="10" t="s">
        <v>61</v>
      </c>
      <c r="D19" s="10" t="n">
        <v>17300</v>
      </c>
      <c r="E19" s="10" t="s">
        <v>79</v>
      </c>
      <c r="F19" s="10" t="s">
        <v>63</v>
      </c>
      <c r="G19" s="10" t="n">
        <v>9.47</v>
      </c>
      <c r="H19" s="10" t="n">
        <v>219269</v>
      </c>
      <c r="I19" s="10" t="n">
        <v>91971</v>
      </c>
      <c r="J19" s="10" t="n">
        <v>881000</v>
      </c>
      <c r="K19" s="10" t="n">
        <v>1</v>
      </c>
      <c r="L19" s="10" t="n">
        <v>3</v>
      </c>
      <c r="M19" s="10" t="n">
        <v>5</v>
      </c>
      <c r="N19" s="10" t="n">
        <v>7</v>
      </c>
      <c r="O19" s="10" t="n">
        <v>0.5</v>
      </c>
      <c r="P19" s="10" t="n">
        <v>9.7</v>
      </c>
      <c r="Q19" s="10" t="str">
        <f aca="false">IF(P19="","",IF(P19&lt;=30,"Yes","No - 5x+ cost"))</f>
        <v>Yes</v>
      </c>
      <c r="R19" s="10" t="n">
        <v>2296.92</v>
      </c>
      <c r="S19" s="10" t="s">
        <v>64</v>
      </c>
      <c r="T19" s="10" t="s">
        <v>64</v>
      </c>
      <c r="U19" s="10" t="s">
        <v>101</v>
      </c>
      <c r="V19" s="10" t="n">
        <v>10</v>
      </c>
      <c r="W19" s="10" t="str">
        <f aca="false">IF(V19="","Unknown",IF(V19&lt;=45,"Active","Stale"))</f>
        <v>Active</v>
      </c>
      <c r="X19" s="10" t="str">
        <f aca="false">IF(AND(K19&gt;=1,M19&gt;0,L19/M19&gt;=0.6,D19&lt;100000),"YES","no")</f>
        <v>YES</v>
      </c>
    </row>
    <row r="20" customFormat="false" ht="15" hidden="false" customHeight="false" outlineLevel="0" collapsed="false">
      <c r="A20" s="8" t="s">
        <v>126</v>
      </c>
      <c r="B20" s="9" t="s">
        <v>127</v>
      </c>
      <c r="C20" s="8" t="s">
        <v>78</v>
      </c>
      <c r="D20" s="8" t="n">
        <v>17300</v>
      </c>
      <c r="E20" s="8" t="s">
        <v>123</v>
      </c>
      <c r="F20" s="8" t="s">
        <v>63</v>
      </c>
      <c r="G20" s="8" t="n">
        <v>2.49</v>
      </c>
      <c r="H20" s="8" t="n">
        <v>119042</v>
      </c>
      <c r="I20" s="8" t="n">
        <v>24222</v>
      </c>
      <c r="J20" s="8" t="n">
        <v>645000</v>
      </c>
      <c r="K20" s="8" t="n">
        <v>2</v>
      </c>
      <c r="L20" s="8" t="n">
        <v>5</v>
      </c>
      <c r="M20" s="8" t="n">
        <v>5</v>
      </c>
      <c r="N20" s="8" t="n">
        <v>25</v>
      </c>
      <c r="O20" s="8" t="n">
        <v>1.75</v>
      </c>
      <c r="P20" s="8" t="n">
        <v>24.2</v>
      </c>
      <c r="Q20" s="8" t="str">
        <f aca="false">IF(P20="","",IF(P20&lt;=30,"Yes","No - 5x+ cost"))</f>
        <v>Yes</v>
      </c>
      <c r="R20" s="8" t="n">
        <v>6156.42</v>
      </c>
      <c r="S20" s="8" t="s">
        <v>64</v>
      </c>
      <c r="T20" s="8" t="s">
        <v>65</v>
      </c>
      <c r="U20" s="8" t="s">
        <v>115</v>
      </c>
      <c r="V20" s="8" t="n">
        <v>7</v>
      </c>
      <c r="W20" s="8" t="str">
        <f aca="false">IF(V20="","Unknown",IF(V20&lt;=45,"Active","Stale"))</f>
        <v>Active</v>
      </c>
      <c r="X20" s="8" t="str">
        <f aca="false">IF(AND(K20&gt;=1,M20&gt;0,L20/M20&gt;=0.6,D20&lt;100000),"YES","no")</f>
        <v>YES</v>
      </c>
    </row>
    <row r="21" customFormat="false" ht="15" hidden="false" customHeight="false" outlineLevel="0" collapsed="false">
      <c r="A21" s="10" t="s">
        <v>128</v>
      </c>
      <c r="B21" s="11" t="s">
        <v>129</v>
      </c>
      <c r="C21" s="10" t="s">
        <v>98</v>
      </c>
      <c r="D21" s="10" t="n">
        <v>16000</v>
      </c>
      <c r="E21" s="10" t="s">
        <v>130</v>
      </c>
      <c r="F21" s="10" t="s">
        <v>63</v>
      </c>
      <c r="G21" s="10" t="n">
        <v>5.31</v>
      </c>
      <c r="H21" s="10" t="n">
        <v>70960</v>
      </c>
      <c r="I21" s="10" t="n">
        <v>51543</v>
      </c>
      <c r="J21" s="10" t="n">
        <v>324000</v>
      </c>
      <c r="K21" s="10" t="n">
        <v>0</v>
      </c>
      <c r="L21" s="10" t="n">
        <v>5</v>
      </c>
      <c r="M21" s="10" t="n">
        <v>5</v>
      </c>
      <c r="N21" s="10" t="n">
        <v>33</v>
      </c>
      <c r="O21" s="10" t="n">
        <v>3.25</v>
      </c>
      <c r="P21" s="10" t="n">
        <v>88.1</v>
      </c>
      <c r="Q21" s="10" t="str">
        <f aca="false">IF(P21="","",IF(P21&lt;=30,"Yes","No - 5x+ cost"))</f>
        <v>No - 5x+ cost</v>
      </c>
      <c r="R21" s="10" t="n">
        <v>5347.96</v>
      </c>
      <c r="S21" s="10" t="s">
        <v>64</v>
      </c>
      <c r="T21" s="10" t="s">
        <v>65</v>
      </c>
      <c r="U21" s="10" t="s">
        <v>71</v>
      </c>
      <c r="V21" s="10" t="n">
        <v>4</v>
      </c>
      <c r="W21" s="10" t="str">
        <f aca="false">IF(V21="","Unknown",IF(V21&lt;=45,"Active","Stale"))</f>
        <v>Active</v>
      </c>
      <c r="X21" s="10" t="str">
        <f aca="false">IF(AND(K21&gt;=1,M21&gt;0,L21/M21&gt;=0.6,D21&lt;100000),"YES","no")</f>
        <v>no</v>
      </c>
    </row>
    <row r="22" customFormat="false" ht="23.85" hidden="false" customHeight="false" outlineLevel="0" collapsed="false">
      <c r="A22" s="8" t="s">
        <v>131</v>
      </c>
      <c r="B22" s="9" t="s">
        <v>132</v>
      </c>
      <c r="C22" s="8" t="s">
        <v>61</v>
      </c>
      <c r="D22" s="8" t="n">
        <v>15700</v>
      </c>
      <c r="E22" s="8" t="s">
        <v>133</v>
      </c>
      <c r="F22" s="8" t="s">
        <v>63</v>
      </c>
      <c r="G22" s="8" t="n">
        <v>4.37</v>
      </c>
      <c r="H22" s="8" t="n">
        <v>256127</v>
      </c>
      <c r="I22" s="8" t="n">
        <v>42546</v>
      </c>
      <c r="J22" s="8" t="n">
        <v>1200000</v>
      </c>
      <c r="K22" s="8" t="n">
        <v>1</v>
      </c>
      <c r="L22" s="8" t="n">
        <v>2</v>
      </c>
      <c r="M22" s="8" t="n">
        <v>5</v>
      </c>
      <c r="N22" s="8" t="n">
        <v>6</v>
      </c>
      <c r="O22" s="8" t="n">
        <v>0</v>
      </c>
      <c r="P22" s="8" t="n">
        <v>11.1</v>
      </c>
      <c r="Q22" s="8" t="str">
        <f aca="false">IF(P22="","",IF(P22&lt;=30,"Yes","No - 5x+ cost"))</f>
        <v>Yes</v>
      </c>
      <c r="R22" s="8" t="n">
        <v>302.86</v>
      </c>
      <c r="S22" s="8" t="s">
        <v>64</v>
      </c>
      <c r="T22" s="8" t="s">
        <v>65</v>
      </c>
      <c r="U22" s="8" t="s">
        <v>134</v>
      </c>
      <c r="V22" s="8" t="n">
        <v>47</v>
      </c>
      <c r="W22" s="8" t="str">
        <f aca="false">IF(V22="","Unknown",IF(V22&lt;=45,"Active","Stale"))</f>
        <v>Stale</v>
      </c>
      <c r="X22" s="8" t="str">
        <f aca="false">IF(AND(K22&gt;=1,M22&gt;0,L22/M22&gt;=0.6,D22&lt;100000),"YES","no")</f>
        <v>no</v>
      </c>
    </row>
    <row r="23" customFormat="false" ht="15" hidden="false" customHeight="false" outlineLevel="0" collapsed="false">
      <c r="A23" s="10" t="s">
        <v>135</v>
      </c>
      <c r="B23" s="11" t="s">
        <v>82</v>
      </c>
      <c r="C23" s="10" t="s">
        <v>61</v>
      </c>
      <c r="D23" s="10" t="n">
        <v>14900</v>
      </c>
      <c r="E23" s="10" t="s">
        <v>136</v>
      </c>
      <c r="F23" s="10" t="s">
        <v>63</v>
      </c>
      <c r="G23" s="10" t="n">
        <v>3.05</v>
      </c>
      <c r="H23" s="10" t="n">
        <v>55270</v>
      </c>
      <c r="I23" s="10" t="n">
        <v>24497</v>
      </c>
      <c r="J23" s="10" t="n">
        <v>169000</v>
      </c>
      <c r="K23" s="10" t="n">
        <v>0</v>
      </c>
      <c r="L23" s="10" t="n">
        <v>1</v>
      </c>
      <c r="M23" s="10" t="n">
        <v>4</v>
      </c>
      <c r="N23" s="10" t="n">
        <v>4</v>
      </c>
      <c r="O23" s="10" t="n">
        <v>1</v>
      </c>
      <c r="P23" s="10" t="n">
        <v>21.8</v>
      </c>
      <c r="Q23" s="10" t="str">
        <f aca="false">IF(P23="","",IF(P23&lt;=30,"Yes","No - 5x+ cost"))</f>
        <v>Yes</v>
      </c>
      <c r="R23" s="10" t="n">
        <v>813.6</v>
      </c>
      <c r="S23" s="10" t="s">
        <v>64</v>
      </c>
      <c r="T23" s="10" t="s">
        <v>65</v>
      </c>
      <c r="U23" s="10" t="s">
        <v>137</v>
      </c>
      <c r="V23" s="10" t="n">
        <v>11</v>
      </c>
      <c r="W23" s="10" t="str">
        <f aca="false">IF(V23="","Unknown",IF(V23&lt;=45,"Active","Stale"))</f>
        <v>Active</v>
      </c>
      <c r="X23" s="10" t="str">
        <f aca="false">IF(AND(K23&gt;=1,M23&gt;0,L23/M23&gt;=0.6,D23&lt;100000),"YES","no")</f>
        <v>no</v>
      </c>
    </row>
    <row r="24" customFormat="false" ht="23.85" hidden="false" customHeight="false" outlineLevel="0" collapsed="false">
      <c r="A24" s="8" t="s">
        <v>138</v>
      </c>
      <c r="B24" s="9" t="s">
        <v>86</v>
      </c>
      <c r="C24" s="8" t="s">
        <v>61</v>
      </c>
      <c r="D24" s="8" t="n">
        <v>14200</v>
      </c>
      <c r="E24" s="8" t="s">
        <v>139</v>
      </c>
      <c r="F24" s="8" t="s">
        <v>63</v>
      </c>
      <c r="G24" s="8" t="n">
        <v>3.73</v>
      </c>
      <c r="H24" s="8" t="n">
        <v>150910</v>
      </c>
      <c r="I24" s="8" t="n">
        <v>36228</v>
      </c>
      <c r="J24" s="8" t="n">
        <v>1000000</v>
      </c>
      <c r="K24" s="8" t="n">
        <v>1</v>
      </c>
      <c r="L24" s="8" t="n">
        <v>3</v>
      </c>
      <c r="M24" s="8" t="n">
        <v>5</v>
      </c>
      <c r="N24" s="8" t="n">
        <v>14</v>
      </c>
      <c r="O24" s="8" t="n">
        <v>0</v>
      </c>
      <c r="P24" s="8" t="n">
        <v>21.6</v>
      </c>
      <c r="Q24" s="8" t="str">
        <f aca="false">IF(P24="","",IF(P24&lt;=30,"Yes","No - 5x+ cost"))</f>
        <v>Yes</v>
      </c>
      <c r="R24" s="8" t="n">
        <v>121.52</v>
      </c>
      <c r="S24" s="8" t="s">
        <v>64</v>
      </c>
      <c r="T24" s="8" t="s">
        <v>64</v>
      </c>
      <c r="U24" s="8" t="s">
        <v>75</v>
      </c>
      <c r="V24" s="8" t="n">
        <v>37</v>
      </c>
      <c r="W24" s="8" t="str">
        <f aca="false">IF(V24="","Unknown",IF(V24&lt;=45,"Active","Stale"))</f>
        <v>Active</v>
      </c>
      <c r="X24" s="8" t="str">
        <f aca="false">IF(AND(K24&gt;=1,M24&gt;0,L24/M24&gt;=0.6,D24&lt;100000),"YES","no")</f>
        <v>YES</v>
      </c>
    </row>
    <row r="25" customFormat="false" ht="15" hidden="false" customHeight="false" outlineLevel="0" collapsed="false">
      <c r="A25" s="10" t="s">
        <v>140</v>
      </c>
      <c r="B25" s="11" t="s">
        <v>117</v>
      </c>
      <c r="C25" s="10" t="s">
        <v>118</v>
      </c>
      <c r="D25" s="10" t="n">
        <v>14200</v>
      </c>
      <c r="E25" s="10" t="s">
        <v>79</v>
      </c>
      <c r="F25" s="10" t="s">
        <v>63</v>
      </c>
      <c r="G25" s="10" t="n">
        <v>4.88</v>
      </c>
      <c r="H25" s="10" t="n">
        <v>102487</v>
      </c>
      <c r="I25" s="10" t="n">
        <v>47428</v>
      </c>
      <c r="J25" s="10" t="n">
        <v>116000</v>
      </c>
      <c r="K25" s="10" t="n">
        <v>0</v>
      </c>
      <c r="L25" s="10" t="n">
        <v>1</v>
      </c>
      <c r="M25" s="10" t="n">
        <v>5</v>
      </c>
      <c r="N25" s="10" t="n">
        <v>73</v>
      </c>
      <c r="O25" s="10" t="n">
        <v>7.25</v>
      </c>
      <c r="P25" s="10" t="n">
        <v>4</v>
      </c>
      <c r="Q25" s="10" t="str">
        <f aca="false">IF(P25="","",IF(P25&lt;=30,"Yes","No - 5x+ cost"))</f>
        <v>Yes</v>
      </c>
      <c r="R25" s="10" t="n">
        <v>901.65</v>
      </c>
      <c r="S25" s="10" t="s">
        <v>64</v>
      </c>
      <c r="T25" s="10" t="s">
        <v>65</v>
      </c>
      <c r="U25" s="10" t="s">
        <v>71</v>
      </c>
      <c r="V25" s="10" t="n">
        <v>4</v>
      </c>
      <c r="W25" s="10" t="str">
        <f aca="false">IF(V25="","Unknown",IF(V25&lt;=45,"Active","Stale"))</f>
        <v>Active</v>
      </c>
      <c r="X25" s="10" t="str">
        <f aca="false">IF(AND(K25&gt;=1,M25&gt;0,L25/M25&gt;=0.6,D25&lt;100000),"YES","no")</f>
        <v>no</v>
      </c>
    </row>
    <row r="26" customFormat="false" ht="15" hidden="false" customHeight="false" outlineLevel="0" collapsed="false">
      <c r="A26" s="8" t="s">
        <v>141</v>
      </c>
      <c r="B26" s="9" t="s">
        <v>142</v>
      </c>
      <c r="C26" s="8" t="s">
        <v>98</v>
      </c>
      <c r="D26" s="8" t="n">
        <v>13800</v>
      </c>
      <c r="E26" s="8" t="s">
        <v>143</v>
      </c>
      <c r="F26" s="8" t="s">
        <v>63</v>
      </c>
      <c r="G26" s="8" t="n">
        <v>13.91</v>
      </c>
      <c r="H26" s="8" t="n">
        <v>167207</v>
      </c>
      <c r="I26" s="8" t="n">
        <v>135180</v>
      </c>
      <c r="J26" s="8" t="n">
        <v>504000</v>
      </c>
      <c r="K26" s="8" t="n">
        <v>1</v>
      </c>
      <c r="L26" s="8" t="n">
        <v>5</v>
      </c>
      <c r="M26" s="8" t="n">
        <v>5</v>
      </c>
      <c r="N26" s="8" t="n">
        <v>17</v>
      </c>
      <c r="O26" s="8" t="n">
        <v>1</v>
      </c>
      <c r="P26" s="8" t="n">
        <v>38.1</v>
      </c>
      <c r="Q26" s="8" t="str">
        <f aca="false">IF(P26="","",IF(P26&lt;=30,"Yes","No - 5x+ cost"))</f>
        <v>No - 5x+ cost</v>
      </c>
      <c r="R26" s="8" t="n">
        <v>4840.67</v>
      </c>
      <c r="S26" s="8" t="s">
        <v>64</v>
      </c>
      <c r="T26" s="8" t="s">
        <v>65</v>
      </c>
      <c r="U26" s="8" t="s">
        <v>71</v>
      </c>
      <c r="V26" s="8" t="n">
        <v>4</v>
      </c>
      <c r="W26" s="8" t="str">
        <f aca="false">IF(V26="","Unknown",IF(V26&lt;=45,"Active","Stale"))</f>
        <v>Active</v>
      </c>
      <c r="X26" s="8" t="str">
        <f aca="false">IF(AND(K26&gt;=1,M26&gt;0,L26/M26&gt;=0.6,D26&lt;100000),"YES","no")</f>
        <v>YES</v>
      </c>
    </row>
    <row r="27" customFormat="false" ht="15" hidden="false" customHeight="false" outlineLevel="0" collapsed="false">
      <c r="A27" s="10" t="s">
        <v>144</v>
      </c>
      <c r="B27" s="11" t="s">
        <v>117</v>
      </c>
      <c r="C27" s="10" t="s">
        <v>118</v>
      </c>
      <c r="D27" s="10" t="n">
        <v>13100</v>
      </c>
      <c r="E27" s="10" t="s">
        <v>145</v>
      </c>
      <c r="F27" s="10" t="s">
        <v>63</v>
      </c>
      <c r="G27" s="10" t="n">
        <v>3.94</v>
      </c>
      <c r="H27" s="10" t="n">
        <v>88351</v>
      </c>
      <c r="I27" s="10" t="n">
        <v>38297</v>
      </c>
      <c r="J27" s="10" t="n">
        <v>484000</v>
      </c>
      <c r="K27" s="10" t="n">
        <v>0</v>
      </c>
      <c r="L27" s="10" t="n">
        <v>5</v>
      </c>
      <c r="M27" s="10" t="n">
        <v>5</v>
      </c>
      <c r="N27" s="10" t="n">
        <v>43</v>
      </c>
      <c r="O27" s="10" t="n">
        <v>3</v>
      </c>
      <c r="P27" s="10" t="n">
        <v>19.4</v>
      </c>
      <c r="Q27" s="10" t="str">
        <f aca="false">IF(P27="","",IF(P27&lt;=30,"Yes","No - 5x+ cost"))</f>
        <v>Yes</v>
      </c>
      <c r="R27" s="10" t="n">
        <v>5867.72</v>
      </c>
      <c r="S27" s="10" t="s">
        <v>64</v>
      </c>
      <c r="T27" s="10" t="s">
        <v>65</v>
      </c>
      <c r="U27" s="10" t="s">
        <v>71</v>
      </c>
      <c r="V27" s="10" t="n">
        <v>4</v>
      </c>
      <c r="W27" s="10" t="str">
        <f aca="false">IF(V27="","Unknown",IF(V27&lt;=45,"Active","Stale"))</f>
        <v>Active</v>
      </c>
      <c r="X27" s="10" t="str">
        <f aca="false">IF(AND(K27&gt;=1,M27&gt;0,L27/M27&gt;=0.6,D27&lt;100000),"YES","no")</f>
        <v>no</v>
      </c>
    </row>
    <row r="28" customFormat="false" ht="15" hidden="false" customHeight="false" outlineLevel="0" collapsed="false">
      <c r="A28" s="8" t="s">
        <v>146</v>
      </c>
      <c r="B28" s="9" t="s">
        <v>147</v>
      </c>
      <c r="C28" s="8" t="s">
        <v>69</v>
      </c>
      <c r="D28" s="8" t="n">
        <v>12100</v>
      </c>
      <c r="E28" s="8" t="s">
        <v>148</v>
      </c>
      <c r="F28" s="8" t="s">
        <v>63</v>
      </c>
      <c r="G28" s="8" t="n">
        <v>3.96</v>
      </c>
      <c r="H28" s="8" t="n">
        <v>136539</v>
      </c>
      <c r="I28" s="8" t="n">
        <v>38513</v>
      </c>
      <c r="J28" s="8" t="n">
        <v>79000</v>
      </c>
      <c r="K28" s="8" t="n">
        <v>0</v>
      </c>
      <c r="L28" s="8" t="n">
        <v>0</v>
      </c>
      <c r="M28" s="8" t="n">
        <v>5</v>
      </c>
      <c r="N28" s="8" t="n">
        <v>153</v>
      </c>
      <c r="O28" s="8" t="n">
        <v>14.75</v>
      </c>
      <c r="P28" s="8" t="n">
        <v>6.5</v>
      </c>
      <c r="Q28" s="8" t="str">
        <f aca="false">IF(P28="","",IF(P28&lt;=30,"Yes","No - 5x+ cost"))</f>
        <v>Yes</v>
      </c>
      <c r="R28" s="8" t="n">
        <v>332.26</v>
      </c>
      <c r="S28" s="8" t="s">
        <v>64</v>
      </c>
      <c r="T28" s="8" t="s">
        <v>65</v>
      </c>
      <c r="U28" s="8" t="s">
        <v>71</v>
      </c>
      <c r="V28" s="8" t="n">
        <v>4</v>
      </c>
      <c r="W28" s="8" t="str">
        <f aca="false">IF(V28="","Unknown",IF(V28&lt;=45,"Active","Stale"))</f>
        <v>Active</v>
      </c>
      <c r="X28" s="8" t="str">
        <f aca="false">IF(AND(K28&gt;=1,M28&gt;0,L28/M28&gt;=0.6,D28&lt;100000),"YES","no")</f>
        <v>no</v>
      </c>
    </row>
    <row r="29" customFormat="false" ht="15" hidden="false" customHeight="false" outlineLevel="0" collapsed="false">
      <c r="A29" s="10" t="s">
        <v>149</v>
      </c>
      <c r="B29" s="11" t="s">
        <v>147</v>
      </c>
      <c r="C29" s="10" t="s">
        <v>69</v>
      </c>
      <c r="D29" s="10" t="n">
        <v>11700</v>
      </c>
      <c r="E29" s="10" t="s">
        <v>120</v>
      </c>
      <c r="F29" s="10" t="s">
        <v>63</v>
      </c>
      <c r="G29" s="10" t="n">
        <v>4.01</v>
      </c>
      <c r="H29" s="10" t="n">
        <v>29630</v>
      </c>
      <c r="I29" s="10" t="n">
        <v>14250</v>
      </c>
      <c r="J29" s="10" t="n">
        <v>296000</v>
      </c>
      <c r="K29" s="10" t="n">
        <v>0</v>
      </c>
      <c r="L29" s="10" t="n">
        <v>3</v>
      </c>
      <c r="M29" s="10" t="n">
        <v>5</v>
      </c>
      <c r="N29" s="10" t="n">
        <v>59</v>
      </c>
      <c r="O29" s="10" t="n">
        <v>7</v>
      </c>
      <c r="P29" s="10" t="n">
        <v>78.3</v>
      </c>
      <c r="Q29" s="10" t="str">
        <f aca="false">IF(P29="","",IF(P29&lt;=30,"Yes","No - 5x+ cost"))</f>
        <v>No - 5x+ cost</v>
      </c>
      <c r="R29" s="10" t="n">
        <v>8286.56</v>
      </c>
      <c r="S29" s="10" t="s">
        <v>64</v>
      </c>
      <c r="T29" s="10" t="s">
        <v>64</v>
      </c>
      <c r="U29" s="10" t="s">
        <v>71</v>
      </c>
      <c r="V29" s="10" t="n">
        <v>4</v>
      </c>
      <c r="W29" s="10" t="str">
        <f aca="false">IF(V29="","Unknown",IF(V29&lt;=45,"Active","Stale"))</f>
        <v>Active</v>
      </c>
      <c r="X29" s="10" t="str">
        <f aca="false">IF(AND(K29&gt;=1,M29&gt;0,L29/M29&gt;=0.6,D29&lt;100000),"YES","no")</f>
        <v>no</v>
      </c>
    </row>
    <row r="30" customFormat="false" ht="15" hidden="false" customHeight="false" outlineLevel="0" collapsed="false">
      <c r="A30" s="8" t="s">
        <v>150</v>
      </c>
      <c r="B30" s="9" t="s">
        <v>106</v>
      </c>
      <c r="C30" s="8" t="s">
        <v>61</v>
      </c>
      <c r="D30" s="8" t="n">
        <v>10900</v>
      </c>
      <c r="E30" s="8" t="s">
        <v>151</v>
      </c>
      <c r="F30" s="8" t="s">
        <v>63</v>
      </c>
      <c r="G30" s="8" t="n">
        <v>13.87</v>
      </c>
      <c r="H30" s="8" t="n">
        <v>134718</v>
      </c>
      <c r="I30" s="8" t="n">
        <v>134718</v>
      </c>
      <c r="J30" s="8" t="n">
        <v>222000</v>
      </c>
      <c r="K30" s="8" t="n">
        <v>0</v>
      </c>
      <c r="L30" s="8" t="n">
        <v>1</v>
      </c>
      <c r="M30" s="8" t="n">
        <v>2</v>
      </c>
      <c r="N30" s="8" t="n">
        <v>2</v>
      </c>
      <c r="O30" s="8" t="n">
        <v>0.25</v>
      </c>
      <c r="P30" s="8" t="n">
        <v>32.2</v>
      </c>
      <c r="Q30" s="8" t="str">
        <f aca="false">IF(P30="","",IF(P30&lt;=30,"Yes","No - 5x+ cost"))</f>
        <v>No - 5x+ cost</v>
      </c>
      <c r="R30" s="8" t="n">
        <v>326.65</v>
      </c>
      <c r="S30" s="8" t="s">
        <v>64</v>
      </c>
      <c r="T30" s="8" t="s">
        <v>65</v>
      </c>
      <c r="U30" s="8" t="s">
        <v>152</v>
      </c>
      <c r="V30" s="8" t="n">
        <v>16</v>
      </c>
      <c r="W30" s="8" t="str">
        <f aca="false">IF(V30="","Unknown",IF(V30&lt;=45,"Active","Stale"))</f>
        <v>Active</v>
      </c>
      <c r="X30" s="8" t="str">
        <f aca="false">IF(AND(K30&gt;=1,M30&gt;0,L30/M30&gt;=0.6,D30&lt;100000),"YES","no")</f>
        <v>no</v>
      </c>
    </row>
    <row r="31" customFormat="false" ht="23.85" hidden="false" customHeight="false" outlineLevel="0" collapsed="false">
      <c r="A31" s="10" t="s">
        <v>153</v>
      </c>
      <c r="B31" s="11" t="s">
        <v>90</v>
      </c>
      <c r="C31" s="10" t="s">
        <v>91</v>
      </c>
      <c r="D31" s="10" t="n">
        <v>10700</v>
      </c>
      <c r="E31" s="10" t="s">
        <v>88</v>
      </c>
      <c r="F31" s="10" t="s">
        <v>63</v>
      </c>
      <c r="G31" s="10" t="n">
        <v>4.85</v>
      </c>
      <c r="H31" s="10" t="n">
        <v>53116</v>
      </c>
      <c r="I31" s="10" t="n">
        <v>47117</v>
      </c>
      <c r="J31" s="10" t="n">
        <v>162000</v>
      </c>
      <c r="K31" s="10" t="n">
        <v>0</v>
      </c>
      <c r="L31" s="10" t="n">
        <v>5</v>
      </c>
      <c r="M31" s="10" t="n">
        <v>5</v>
      </c>
      <c r="N31" s="10" t="n">
        <v>27</v>
      </c>
      <c r="O31" s="10" t="n">
        <v>2.5</v>
      </c>
      <c r="P31" s="10" t="n">
        <v>60.4</v>
      </c>
      <c r="Q31" s="10" t="str">
        <f aca="false">IF(P31="","",IF(P31&lt;=30,"Yes","No - 5x+ cost"))</f>
        <v>No - 5x+ cost</v>
      </c>
      <c r="R31" s="10" t="n">
        <v>4805.91</v>
      </c>
      <c r="S31" s="10" t="s">
        <v>64</v>
      </c>
      <c r="T31" s="10" t="s">
        <v>64</v>
      </c>
      <c r="U31" s="10" t="s">
        <v>154</v>
      </c>
      <c r="V31" s="10" t="n">
        <v>8</v>
      </c>
      <c r="W31" s="10" t="str">
        <f aca="false">IF(V31="","Unknown",IF(V31&lt;=45,"Active","Stale"))</f>
        <v>Active</v>
      </c>
      <c r="X31" s="10" t="str">
        <f aca="false">IF(AND(K31&gt;=1,M31&gt;0,L31/M31&gt;=0.6,D31&lt;100000),"YES","no")</f>
        <v>no</v>
      </c>
    </row>
    <row r="32" customFormat="false" ht="15" hidden="false" customHeight="false" outlineLevel="0" collapsed="false">
      <c r="A32" s="8" t="s">
        <v>155</v>
      </c>
      <c r="B32" s="9" t="s">
        <v>82</v>
      </c>
      <c r="C32" s="8" t="s">
        <v>61</v>
      </c>
      <c r="D32" s="8" t="n">
        <v>10600</v>
      </c>
      <c r="E32" s="8" t="s">
        <v>156</v>
      </c>
      <c r="F32" s="8" t="s">
        <v>63</v>
      </c>
      <c r="G32" s="8" t="n">
        <v>7.32</v>
      </c>
      <c r="H32" s="8" t="n">
        <v>117407</v>
      </c>
      <c r="I32" s="8" t="n">
        <v>71070</v>
      </c>
      <c r="J32" s="8" t="n">
        <v>372000</v>
      </c>
      <c r="K32" s="8" t="n">
        <v>0</v>
      </c>
      <c r="L32" s="8" t="n">
        <v>4</v>
      </c>
      <c r="M32" s="8" t="n">
        <v>5</v>
      </c>
      <c r="N32" s="8" t="n">
        <v>9</v>
      </c>
      <c r="O32" s="8" t="n">
        <v>0</v>
      </c>
      <c r="P32" s="8" t="n">
        <v>17.7</v>
      </c>
      <c r="Q32" s="8" t="str">
        <f aca="false">IF(P32="","",IF(P32&lt;=30,"Yes","No - 5x+ cost"))</f>
        <v>Yes</v>
      </c>
      <c r="R32" s="8" t="n">
        <v>8.65</v>
      </c>
      <c r="S32" s="8" t="s">
        <v>64</v>
      </c>
      <c r="T32" s="8" t="s">
        <v>65</v>
      </c>
      <c r="U32" s="8" t="s">
        <v>157</v>
      </c>
      <c r="V32" s="8" t="n">
        <v>80</v>
      </c>
      <c r="W32" s="8" t="str">
        <f aca="false">IF(V32="","Unknown",IF(V32&lt;=45,"Active","Stale"))</f>
        <v>Stale</v>
      </c>
      <c r="X32" s="8" t="str">
        <f aca="false">IF(AND(K32&gt;=1,M32&gt;0,L32/M32&gt;=0.6,D32&lt;100000),"YES","no")</f>
        <v>no</v>
      </c>
    </row>
    <row r="33" customFormat="false" ht="15" hidden="false" customHeight="false" outlineLevel="0" collapsed="false">
      <c r="A33" s="10" t="s">
        <v>158</v>
      </c>
      <c r="B33" s="11" t="s">
        <v>106</v>
      </c>
      <c r="C33" s="10" t="s">
        <v>61</v>
      </c>
      <c r="D33" s="10" t="n">
        <v>9830</v>
      </c>
      <c r="E33" s="10" t="s">
        <v>159</v>
      </c>
      <c r="F33" s="10" t="s">
        <v>63</v>
      </c>
      <c r="G33" s="10" t="n">
        <v>2.37</v>
      </c>
      <c r="H33" s="10" t="n">
        <v>42128</v>
      </c>
      <c r="I33" s="10" t="n">
        <v>9085</v>
      </c>
      <c r="J33" s="10" t="n">
        <v>438000</v>
      </c>
      <c r="K33" s="10" t="n">
        <v>0</v>
      </c>
      <c r="L33" s="10" t="n">
        <v>5</v>
      </c>
      <c r="M33" s="10" t="n">
        <v>5</v>
      </c>
      <c r="N33" s="10" t="n">
        <v>52</v>
      </c>
      <c r="O33" s="10" t="n">
        <v>3</v>
      </c>
      <c r="P33" s="10" t="n">
        <v>8.2</v>
      </c>
      <c r="Q33" s="10" t="str">
        <f aca="false">IF(P33="","",IF(P33&lt;=30,"Yes","No - 5x+ cost"))</f>
        <v>Yes</v>
      </c>
      <c r="R33" s="10" t="n">
        <v>1260.27</v>
      </c>
      <c r="S33" s="10" t="s">
        <v>64</v>
      </c>
      <c r="T33" s="10" t="s">
        <v>64</v>
      </c>
      <c r="U33" s="10" t="s">
        <v>71</v>
      </c>
      <c r="V33" s="10" t="n">
        <v>4</v>
      </c>
      <c r="W33" s="10" t="str">
        <f aca="false">IF(V33="","Unknown",IF(V33&lt;=45,"Active","Stale"))</f>
        <v>Active</v>
      </c>
      <c r="X33" s="10" t="str">
        <f aca="false">IF(AND(K33&gt;=1,M33&gt;0,L33/M33&gt;=0.6,D33&lt;100000),"YES","no")</f>
        <v>no</v>
      </c>
    </row>
    <row r="34" customFormat="false" ht="15" hidden="false" customHeight="false" outlineLevel="0" collapsed="false">
      <c r="A34" s="8" t="s">
        <v>160</v>
      </c>
      <c r="B34" s="9" t="s">
        <v>82</v>
      </c>
      <c r="C34" s="8" t="s">
        <v>61</v>
      </c>
      <c r="D34" s="8" t="n">
        <v>9680</v>
      </c>
      <c r="E34" s="8" t="s">
        <v>161</v>
      </c>
      <c r="F34" s="8" t="s">
        <v>63</v>
      </c>
      <c r="G34" s="8" t="n">
        <v>3.22</v>
      </c>
      <c r="H34" s="8" t="n">
        <v>13808</v>
      </c>
      <c r="I34" s="8" t="n">
        <v>12852</v>
      </c>
      <c r="J34" s="8" t="n">
        <v>26000</v>
      </c>
      <c r="K34" s="8" t="n">
        <v>0</v>
      </c>
      <c r="L34" s="8" t="n">
        <v>0</v>
      </c>
      <c r="M34" s="8" t="n">
        <v>3</v>
      </c>
      <c r="N34" s="8" t="n">
        <v>3</v>
      </c>
      <c r="O34" s="8" t="n">
        <v>0</v>
      </c>
      <c r="P34" s="8" t="n">
        <v>27.7</v>
      </c>
      <c r="Q34" s="8" t="str">
        <f aca="false">IF(P34="","",IF(P34&lt;=30,"Yes","No - 5x+ cost"))</f>
        <v>Yes</v>
      </c>
      <c r="R34" s="8" t="n">
        <v>0</v>
      </c>
      <c r="S34" s="8" t="s">
        <v>65</v>
      </c>
      <c r="T34" s="8" t="s">
        <v>65</v>
      </c>
      <c r="U34" s="8" t="s">
        <v>162</v>
      </c>
      <c r="V34" s="8" t="n">
        <v>66</v>
      </c>
      <c r="W34" s="8" t="str">
        <f aca="false">IF(V34="","Unknown",IF(V34&lt;=45,"Active","Stale"))</f>
        <v>Stale</v>
      </c>
      <c r="X34" s="8" t="str">
        <f aca="false">IF(AND(K34&gt;=1,M34&gt;0,L34/M34&gt;=0.6,D34&lt;100000),"YES","no")</f>
        <v>no</v>
      </c>
    </row>
    <row r="35" customFormat="false" ht="15" hidden="false" customHeight="false" outlineLevel="0" collapsed="false">
      <c r="A35" s="10" t="s">
        <v>163</v>
      </c>
      <c r="B35" s="11" t="s">
        <v>77</v>
      </c>
      <c r="C35" s="10" t="s">
        <v>78</v>
      </c>
      <c r="D35" s="10" t="n">
        <v>9160</v>
      </c>
      <c r="E35" s="10" t="s">
        <v>164</v>
      </c>
      <c r="F35" s="10" t="s">
        <v>63</v>
      </c>
      <c r="G35" s="10" t="n">
        <v>3.95</v>
      </c>
      <c r="H35" s="10" t="n">
        <v>53111</v>
      </c>
      <c r="I35" s="10" t="n">
        <v>15149</v>
      </c>
      <c r="J35" s="10" t="n">
        <v>31000</v>
      </c>
      <c r="K35" s="10" t="n">
        <v>0</v>
      </c>
      <c r="L35" s="10" t="n">
        <v>0</v>
      </c>
      <c r="M35" s="10" t="n">
        <v>5</v>
      </c>
      <c r="N35" s="10" t="n">
        <v>92</v>
      </c>
      <c r="O35" s="10" t="n">
        <v>3.5</v>
      </c>
      <c r="P35" s="10" t="n">
        <v>0.7</v>
      </c>
      <c r="Q35" s="10" t="str">
        <f aca="false">IF(P35="","",IF(P35&lt;=30,"Yes","No - 5x+ cost"))</f>
        <v>Yes</v>
      </c>
      <c r="R35" s="10" t="n">
        <v>7.97</v>
      </c>
      <c r="S35" s="10" t="s">
        <v>64</v>
      </c>
      <c r="T35" s="10" t="s">
        <v>65</v>
      </c>
      <c r="U35" s="10" t="s">
        <v>71</v>
      </c>
      <c r="V35" s="10" t="n">
        <v>4</v>
      </c>
      <c r="W35" s="10" t="str">
        <f aca="false">IF(V35="","Unknown",IF(V35&lt;=45,"Active","Stale"))</f>
        <v>Active</v>
      </c>
      <c r="X35" s="10" t="str">
        <f aca="false">IF(AND(K35&gt;=1,M35&gt;0,L35/M35&gt;=0.6,D35&lt;100000),"YES","no")</f>
        <v>no</v>
      </c>
    </row>
    <row r="36" customFormat="false" ht="15" hidden="false" customHeight="false" outlineLevel="0" collapsed="false">
      <c r="A36" s="8" t="s">
        <v>165</v>
      </c>
      <c r="B36" s="9" t="s">
        <v>77</v>
      </c>
      <c r="C36" s="8" t="s">
        <v>78</v>
      </c>
      <c r="D36" s="8" t="n">
        <v>8400</v>
      </c>
      <c r="E36" s="8" t="s">
        <v>166</v>
      </c>
      <c r="F36" s="8" t="s">
        <v>63</v>
      </c>
      <c r="G36" s="8" t="n">
        <v>4.49</v>
      </c>
      <c r="H36" s="8" t="n">
        <v>24737</v>
      </c>
      <c r="I36" s="8" t="n">
        <v>17208</v>
      </c>
      <c r="J36" s="8" t="n">
        <v>135000</v>
      </c>
      <c r="K36" s="8" t="n">
        <v>0</v>
      </c>
      <c r="L36" s="8" t="n">
        <v>1</v>
      </c>
      <c r="M36" s="8" t="n">
        <v>5</v>
      </c>
      <c r="N36" s="8" t="n">
        <v>22</v>
      </c>
      <c r="O36" s="8" t="n">
        <v>2</v>
      </c>
      <c r="P36" s="8" t="n">
        <v>11.4</v>
      </c>
      <c r="Q36" s="8" t="str">
        <f aca="false">IF(P36="","",IF(P36&lt;=30,"Yes","No - 5x+ cost"))</f>
        <v>Yes</v>
      </c>
      <c r="R36" s="8" t="n">
        <v>783.55</v>
      </c>
      <c r="S36" s="8" t="s">
        <v>64</v>
      </c>
      <c r="T36" s="8" t="s">
        <v>65</v>
      </c>
      <c r="U36" s="8" t="s">
        <v>167</v>
      </c>
      <c r="V36" s="8" t="n">
        <v>6</v>
      </c>
      <c r="W36" s="8" t="str">
        <f aca="false">IF(V36="","Unknown",IF(V36&lt;=45,"Active","Stale"))</f>
        <v>Active</v>
      </c>
      <c r="X36" s="8" t="str">
        <f aca="false">IF(AND(K36&gt;=1,M36&gt;0,L36/M36&gt;=0.6,D36&lt;100000),"YES","no")</f>
        <v>no</v>
      </c>
    </row>
    <row r="37" customFormat="false" ht="15" hidden="false" customHeight="false" outlineLevel="0" collapsed="false">
      <c r="A37" s="10" t="s">
        <v>168</v>
      </c>
      <c r="B37" s="11" t="s">
        <v>147</v>
      </c>
      <c r="C37" s="10" t="s">
        <v>69</v>
      </c>
      <c r="D37" s="10" t="n">
        <v>8320</v>
      </c>
      <c r="E37" s="10" t="s">
        <v>169</v>
      </c>
      <c r="F37" s="10" t="s">
        <v>63</v>
      </c>
      <c r="G37" s="10" t="n">
        <v>3.98</v>
      </c>
      <c r="H37" s="10" t="n">
        <v>20072</v>
      </c>
      <c r="I37" s="10" t="n">
        <v>15897</v>
      </c>
      <c r="J37" s="10" t="n">
        <v>64000</v>
      </c>
      <c r="K37" s="10" t="n">
        <v>0</v>
      </c>
      <c r="L37" s="10" t="n">
        <v>0</v>
      </c>
      <c r="M37" s="10" t="n">
        <v>5</v>
      </c>
      <c r="N37" s="10" t="n">
        <v>28</v>
      </c>
      <c r="O37" s="10" t="n">
        <v>0.25</v>
      </c>
      <c r="P37" s="10" t="n">
        <v>40.6</v>
      </c>
      <c r="Q37" s="10" t="str">
        <f aca="false">IF(P37="","",IF(P37&lt;=30,"Yes","No - 5x+ cost"))</f>
        <v>No - 5x+ cost</v>
      </c>
      <c r="R37" s="10" t="n">
        <v>656.77</v>
      </c>
      <c r="S37" s="10" t="s">
        <v>64</v>
      </c>
      <c r="T37" s="10" t="s">
        <v>64</v>
      </c>
      <c r="U37" s="10" t="s">
        <v>170</v>
      </c>
      <c r="V37" s="10" t="n">
        <v>17</v>
      </c>
      <c r="W37" s="10" t="str">
        <f aca="false">IF(V37="","Unknown",IF(V37&lt;=45,"Active","Stale"))</f>
        <v>Active</v>
      </c>
      <c r="X37" s="10" t="str">
        <f aca="false">IF(AND(K37&gt;=1,M37&gt;0,L37/M37&gt;=0.6,D37&lt;100000),"YES","no")</f>
        <v>no</v>
      </c>
    </row>
    <row r="38" customFormat="false" ht="15" hidden="false" customHeight="false" outlineLevel="0" collapsed="false">
      <c r="A38" s="8" t="s">
        <v>171</v>
      </c>
      <c r="B38" s="9" t="s">
        <v>172</v>
      </c>
      <c r="C38" s="8" t="s">
        <v>78</v>
      </c>
      <c r="D38" s="8" t="n">
        <v>8109</v>
      </c>
      <c r="E38" s="8" t="s">
        <v>62</v>
      </c>
      <c r="F38" s="8" t="s">
        <v>63</v>
      </c>
      <c r="G38" s="8" t="n">
        <v>6.23</v>
      </c>
      <c r="H38" s="8" t="n">
        <v>50960</v>
      </c>
      <c r="I38" s="8" t="n">
        <v>23852</v>
      </c>
      <c r="J38" s="8" t="n">
        <v>243000</v>
      </c>
      <c r="K38" s="8" t="n">
        <v>0</v>
      </c>
      <c r="L38" s="8" t="n">
        <v>4</v>
      </c>
      <c r="M38" s="8" t="n">
        <v>5</v>
      </c>
      <c r="N38" s="8" t="n">
        <v>30</v>
      </c>
      <c r="O38" s="8" t="n">
        <v>2</v>
      </c>
      <c r="P38" s="8" t="n">
        <v>24.2</v>
      </c>
      <c r="Q38" s="8" t="str">
        <f aca="false">IF(P38="","",IF(P38&lt;=30,"Yes","No - 5x+ cost"))</f>
        <v>Yes</v>
      </c>
      <c r="R38" s="8" t="n">
        <v>3231.39</v>
      </c>
      <c r="S38" s="8" t="s">
        <v>64</v>
      </c>
      <c r="T38" s="8" t="s">
        <v>64</v>
      </c>
      <c r="U38" s="8" t="s">
        <v>173</v>
      </c>
      <c r="V38" s="8" t="n">
        <v>5</v>
      </c>
      <c r="W38" s="8" t="str">
        <f aca="false">IF(V38="","Unknown",IF(V38&lt;=45,"Active","Stale"))</f>
        <v>Active</v>
      </c>
      <c r="X38" s="8" t="str">
        <f aca="false">IF(AND(K38&gt;=1,M38&gt;0,L38/M38&gt;=0.6,D38&lt;100000),"YES","no")</f>
        <v>no</v>
      </c>
    </row>
    <row r="39" customFormat="false" ht="23.85" hidden="false" customHeight="false" outlineLevel="0" collapsed="false">
      <c r="A39" s="10" t="s">
        <v>174</v>
      </c>
      <c r="B39" s="11" t="s">
        <v>175</v>
      </c>
      <c r="C39" s="10" t="s">
        <v>61</v>
      </c>
      <c r="D39" s="10" t="n">
        <v>8070</v>
      </c>
      <c r="E39" s="10" t="s">
        <v>84</v>
      </c>
      <c r="F39" s="10" t="s">
        <v>63</v>
      </c>
      <c r="G39" s="10" t="n">
        <v>4.56</v>
      </c>
      <c r="H39" s="10" t="n">
        <v>28392</v>
      </c>
      <c r="I39" s="10" t="n">
        <v>17458</v>
      </c>
      <c r="J39" s="10" t="n">
        <v>19000</v>
      </c>
      <c r="K39" s="10" t="n">
        <v>0</v>
      </c>
      <c r="L39" s="10" t="n">
        <v>0</v>
      </c>
      <c r="M39" s="10" t="n">
        <v>3</v>
      </c>
      <c r="N39" s="10" t="n">
        <v>6</v>
      </c>
      <c r="O39" s="10" t="n">
        <v>0.25</v>
      </c>
      <c r="P39" s="10" t="n">
        <v>5.6</v>
      </c>
      <c r="Q39" s="10" t="str">
        <f aca="false">IF(P39="","",IF(P39&lt;=30,"Yes","No - 5x+ cost"))</f>
        <v>Yes</v>
      </c>
      <c r="R39" s="10" t="n">
        <v>0</v>
      </c>
      <c r="S39" s="10" t="s">
        <v>65</v>
      </c>
      <c r="T39" s="10" t="s">
        <v>64</v>
      </c>
      <c r="U39" s="10" t="s">
        <v>66</v>
      </c>
      <c r="V39" s="10" t="n">
        <v>24</v>
      </c>
      <c r="W39" s="10" t="str">
        <f aca="false">IF(V39="","Unknown",IF(V39&lt;=45,"Active","Stale"))</f>
        <v>Active</v>
      </c>
      <c r="X39" s="10" t="str">
        <f aca="false">IF(AND(K39&gt;=1,M39&gt;0,L39/M39&gt;=0.6,D39&lt;100000),"YES","no")</f>
        <v>no</v>
      </c>
    </row>
    <row r="40" customFormat="false" ht="15" hidden="false" customHeight="false" outlineLevel="0" collapsed="false">
      <c r="A40" s="8" t="s">
        <v>176</v>
      </c>
      <c r="B40" s="9" t="s">
        <v>127</v>
      </c>
      <c r="C40" s="8" t="s">
        <v>78</v>
      </c>
      <c r="D40" s="8" t="n">
        <v>8020</v>
      </c>
      <c r="E40" s="8" t="s">
        <v>177</v>
      </c>
      <c r="F40" s="8" t="s">
        <v>63</v>
      </c>
      <c r="G40" s="8" t="n">
        <v>2.21</v>
      </c>
      <c r="H40" s="8" t="n">
        <v>61035</v>
      </c>
      <c r="I40" s="8" t="n">
        <v>8460</v>
      </c>
      <c r="J40" s="8" t="n">
        <v>830000</v>
      </c>
      <c r="K40" s="8" t="n">
        <v>2</v>
      </c>
      <c r="L40" s="8" t="n">
        <v>5</v>
      </c>
      <c r="M40" s="8" t="n">
        <v>5</v>
      </c>
      <c r="N40" s="8" t="n">
        <v>58</v>
      </c>
      <c r="O40" s="8" t="n">
        <v>3.25</v>
      </c>
      <c r="P40" s="8" t="n">
        <v>13.5</v>
      </c>
      <c r="Q40" s="8" t="str">
        <f aca="false">IF(P40="","",IF(P40&lt;=30,"Yes","No - 5x+ cost"))</f>
        <v>Yes</v>
      </c>
      <c r="R40" s="8" t="n">
        <v>1348.92</v>
      </c>
      <c r="S40" s="8" t="s">
        <v>64</v>
      </c>
      <c r="T40" s="8" t="s">
        <v>65</v>
      </c>
      <c r="U40" s="8" t="s">
        <v>173</v>
      </c>
      <c r="V40" s="8" t="n">
        <v>5</v>
      </c>
      <c r="W40" s="8" t="str">
        <f aca="false">IF(V40="","Unknown",IF(V40&lt;=45,"Active","Stale"))</f>
        <v>Active</v>
      </c>
      <c r="X40" s="8" t="str">
        <f aca="false">IF(AND(K40&gt;=1,M40&gt;0,L40/M40&gt;=0.6,D40&lt;100000),"YES","no")</f>
        <v>YES</v>
      </c>
    </row>
    <row r="41" customFormat="false" ht="15" hidden="false" customHeight="false" outlineLevel="0" collapsed="false">
      <c r="A41" s="10" t="s">
        <v>178</v>
      </c>
      <c r="B41" s="11" t="s">
        <v>179</v>
      </c>
      <c r="C41" s="10" t="s">
        <v>118</v>
      </c>
      <c r="D41" s="10" t="n">
        <v>7520</v>
      </c>
      <c r="E41" s="10" t="s">
        <v>180</v>
      </c>
      <c r="F41" s="10" t="s">
        <v>63</v>
      </c>
      <c r="G41" s="10" t="n">
        <v>6.57</v>
      </c>
      <c r="H41" s="10" t="n">
        <v>86198</v>
      </c>
      <c r="I41" s="10" t="n">
        <v>12834</v>
      </c>
      <c r="J41" s="10" t="n">
        <v>550000</v>
      </c>
      <c r="K41" s="10" t="n">
        <v>1</v>
      </c>
      <c r="L41" s="10" t="n">
        <v>5</v>
      </c>
      <c r="M41" s="10" t="n">
        <v>5</v>
      </c>
      <c r="N41" s="10" t="n">
        <v>22</v>
      </c>
      <c r="O41" s="10" t="n">
        <v>2.75</v>
      </c>
      <c r="P41" s="10" t="n">
        <v>26.6</v>
      </c>
      <c r="Q41" s="10" t="str">
        <f aca="false">IF(P41="","",IF(P41&lt;=30,"Yes","No - 5x+ cost"))</f>
        <v>Yes</v>
      </c>
      <c r="R41" s="10" t="n">
        <v>3628.75</v>
      </c>
      <c r="S41" s="10" t="s">
        <v>64</v>
      </c>
      <c r="T41" s="10" t="s">
        <v>65</v>
      </c>
      <c r="U41" s="10" t="s">
        <v>173</v>
      </c>
      <c r="V41" s="10" t="n">
        <v>5</v>
      </c>
      <c r="W41" s="10" t="str">
        <f aca="false">IF(V41="","Unknown",IF(V41&lt;=45,"Active","Stale"))</f>
        <v>Active</v>
      </c>
      <c r="X41" s="10" t="str">
        <f aca="false">IF(AND(K41&gt;=1,M41&gt;0,L41/M41&gt;=0.6,D41&lt;100000),"YES","no")</f>
        <v>YES</v>
      </c>
    </row>
    <row r="42" customFormat="false" ht="23.85" hidden="false" customHeight="false" outlineLevel="0" collapsed="false">
      <c r="A42" s="8" t="s">
        <v>181</v>
      </c>
      <c r="B42" s="9" t="s">
        <v>182</v>
      </c>
      <c r="C42" s="8" t="s">
        <v>69</v>
      </c>
      <c r="D42" s="8" t="n">
        <v>7360</v>
      </c>
      <c r="E42" s="8" t="s">
        <v>183</v>
      </c>
      <c r="F42" s="8" t="s">
        <v>63</v>
      </c>
      <c r="G42" s="8" t="n">
        <v>3.72</v>
      </c>
      <c r="H42" s="8" t="n">
        <v>42379</v>
      </c>
      <c r="I42" s="8" t="n">
        <v>14244</v>
      </c>
      <c r="J42" s="8" t="n">
        <v>168000</v>
      </c>
      <c r="K42" s="8" t="n">
        <v>0</v>
      </c>
      <c r="L42" s="8" t="n">
        <v>4</v>
      </c>
      <c r="M42" s="8" t="n">
        <v>5</v>
      </c>
      <c r="N42" s="8" t="n">
        <v>26</v>
      </c>
      <c r="O42" s="8" t="n">
        <v>0</v>
      </c>
      <c r="P42" s="8" t="n">
        <v>26</v>
      </c>
      <c r="Q42" s="8" t="str">
        <f aca="false">IF(P42="","",IF(P42&lt;=30,"Yes","No - 5x+ cost"))</f>
        <v>Yes</v>
      </c>
      <c r="R42" s="8" t="n">
        <v>0</v>
      </c>
      <c r="S42" s="8" t="s">
        <v>65</v>
      </c>
      <c r="T42" s="8" t="s">
        <v>64</v>
      </c>
      <c r="U42" s="8" t="s">
        <v>157</v>
      </c>
      <c r="V42" s="8" t="n">
        <v>80</v>
      </c>
      <c r="W42" s="8" t="str">
        <f aca="false">IF(V42="","Unknown",IF(V42&lt;=45,"Active","Stale"))</f>
        <v>Stale</v>
      </c>
      <c r="X42" s="8" t="str">
        <f aca="false">IF(AND(K42&gt;=1,M42&gt;0,L42/M42&gt;=0.6,D42&lt;100000),"YES","no")</f>
        <v>no</v>
      </c>
    </row>
    <row r="43" customFormat="false" ht="15" hidden="false" customHeight="false" outlineLevel="0" collapsed="false">
      <c r="A43" s="10" t="s">
        <v>184</v>
      </c>
      <c r="B43" s="11" t="s">
        <v>127</v>
      </c>
      <c r="C43" s="10" t="s">
        <v>78</v>
      </c>
      <c r="D43" s="10" t="n">
        <v>7160</v>
      </c>
      <c r="E43" s="10" t="s">
        <v>79</v>
      </c>
      <c r="F43" s="10" t="s">
        <v>63</v>
      </c>
      <c r="G43" s="10" t="n">
        <v>4.93</v>
      </c>
      <c r="H43" s="10" t="n">
        <v>41640</v>
      </c>
      <c r="I43" s="10" t="n">
        <v>18788</v>
      </c>
      <c r="J43" s="10" t="n">
        <v>175000</v>
      </c>
      <c r="K43" s="10" t="n">
        <v>0</v>
      </c>
      <c r="L43" s="10" t="n">
        <v>3</v>
      </c>
      <c r="M43" s="10" t="n">
        <v>5</v>
      </c>
      <c r="N43" s="10" t="n">
        <v>15</v>
      </c>
      <c r="O43" s="10" t="n">
        <v>1.5</v>
      </c>
      <c r="P43" s="10" t="n">
        <v>15.9</v>
      </c>
      <c r="Q43" s="10" t="str">
        <f aca="false">IF(P43="","",IF(P43&lt;=30,"Yes","No - 5x+ cost"))</f>
        <v>Yes</v>
      </c>
      <c r="R43" s="10" t="n">
        <v>1798.15</v>
      </c>
      <c r="S43" s="10" t="s">
        <v>64</v>
      </c>
      <c r="T43" s="10" t="s">
        <v>65</v>
      </c>
      <c r="U43" s="10" t="s">
        <v>167</v>
      </c>
      <c r="V43" s="10" t="n">
        <v>6</v>
      </c>
      <c r="W43" s="10" t="str">
        <f aca="false">IF(V43="","Unknown",IF(V43&lt;=45,"Active","Stale"))</f>
        <v>Active</v>
      </c>
      <c r="X43" s="10" t="str">
        <f aca="false">IF(AND(K43&gt;=1,M43&gt;0,L43/M43&gt;=0.6,D43&lt;100000),"YES","no")</f>
        <v>no</v>
      </c>
    </row>
    <row r="44" customFormat="false" ht="15" hidden="false" customHeight="false" outlineLevel="0" collapsed="false">
      <c r="A44" s="8" t="s">
        <v>185</v>
      </c>
      <c r="B44" s="9" t="s">
        <v>186</v>
      </c>
      <c r="C44" s="8" t="s">
        <v>61</v>
      </c>
      <c r="D44" s="8" t="n">
        <v>7150</v>
      </c>
      <c r="E44" s="8" t="s">
        <v>83</v>
      </c>
      <c r="F44" s="8" t="s">
        <v>63</v>
      </c>
      <c r="G44" s="8" t="n">
        <v>5.49</v>
      </c>
      <c r="H44" s="8" t="n">
        <v>48323</v>
      </c>
      <c r="I44" s="8" t="n">
        <v>20922</v>
      </c>
      <c r="J44" s="8" t="n">
        <v>194000</v>
      </c>
      <c r="K44" s="8" t="n">
        <v>0</v>
      </c>
      <c r="L44" s="8" t="n">
        <v>4</v>
      </c>
      <c r="M44" s="8" t="n">
        <v>5</v>
      </c>
      <c r="N44" s="8" t="n">
        <v>20</v>
      </c>
      <c r="O44" s="8" t="n">
        <v>0.25</v>
      </c>
      <c r="P44" s="8" t="n">
        <v>28.4</v>
      </c>
      <c r="Q44" s="8" t="str">
        <f aca="false">IF(P44="","",IF(P44&lt;=30,"Yes","No - 5x+ cost"))</f>
        <v>Yes</v>
      </c>
      <c r="R44" s="8" t="n">
        <v>677.19</v>
      </c>
      <c r="S44" s="8" t="s">
        <v>64</v>
      </c>
      <c r="T44" s="8" t="s">
        <v>64</v>
      </c>
      <c r="U44" s="8" t="s">
        <v>187</v>
      </c>
      <c r="V44" s="8" t="n">
        <v>31</v>
      </c>
      <c r="W44" s="8" t="str">
        <f aca="false">IF(V44="","Unknown",IF(V44&lt;=45,"Active","Stale"))</f>
        <v>Active</v>
      </c>
      <c r="X44" s="8" t="str">
        <f aca="false">IF(AND(K44&gt;=1,M44&gt;0,L44/M44&gt;=0.6,D44&lt;100000),"YES","no")</f>
        <v>no</v>
      </c>
    </row>
    <row r="45" customFormat="false" ht="23.85" hidden="false" customHeight="false" outlineLevel="0" collapsed="false">
      <c r="A45" s="10" t="s">
        <v>188</v>
      </c>
      <c r="B45" s="11" t="s">
        <v>189</v>
      </c>
      <c r="C45" s="10" t="s">
        <v>69</v>
      </c>
      <c r="D45" s="10" t="n">
        <v>6770</v>
      </c>
      <c r="E45" s="10" t="s">
        <v>74</v>
      </c>
      <c r="F45" s="10" t="s">
        <v>63</v>
      </c>
      <c r="G45" s="10" t="n">
        <v>2.24</v>
      </c>
      <c r="H45" s="10" t="n">
        <v>41471</v>
      </c>
      <c r="I45" s="10" t="n">
        <v>8554</v>
      </c>
      <c r="J45" s="10" t="n">
        <v>461000</v>
      </c>
      <c r="K45" s="10" t="n">
        <v>0</v>
      </c>
      <c r="L45" s="10" t="n">
        <v>3</v>
      </c>
      <c r="M45" s="10" t="n">
        <v>5</v>
      </c>
      <c r="N45" s="10" t="n">
        <v>31</v>
      </c>
      <c r="O45" s="10" t="n">
        <v>1</v>
      </c>
      <c r="P45" s="10" t="n">
        <v>27.3</v>
      </c>
      <c r="Q45" s="10" t="str">
        <f aca="false">IF(P45="","",IF(P45&lt;=30,"Yes","No - 5x+ cost"))</f>
        <v>Yes</v>
      </c>
      <c r="R45" s="10" t="n">
        <v>845.59</v>
      </c>
      <c r="S45" s="10" t="s">
        <v>64</v>
      </c>
      <c r="T45" s="10" t="s">
        <v>65</v>
      </c>
      <c r="U45" s="10" t="s">
        <v>190</v>
      </c>
      <c r="V45" s="10" t="n">
        <v>19</v>
      </c>
      <c r="W45" s="10" t="str">
        <f aca="false">IF(V45="","Unknown",IF(V45&lt;=45,"Active","Stale"))</f>
        <v>Active</v>
      </c>
      <c r="X45" s="10" t="str">
        <f aca="false">IF(AND(K45&gt;=1,M45&gt;0,L45/M45&gt;=0.6,D45&lt;100000),"YES","no")</f>
        <v>no</v>
      </c>
    </row>
    <row r="46" customFormat="false" ht="23.85" hidden="false" customHeight="false" outlineLevel="0" collapsed="false">
      <c r="A46" s="8" t="s">
        <v>191</v>
      </c>
      <c r="B46" s="9" t="s">
        <v>182</v>
      </c>
      <c r="C46" s="8" t="s">
        <v>69</v>
      </c>
      <c r="D46" s="8" t="n">
        <v>6710</v>
      </c>
      <c r="E46" s="8" t="s">
        <v>83</v>
      </c>
      <c r="F46" s="8" t="s">
        <v>63</v>
      </c>
      <c r="G46" s="8" t="n">
        <v>2.19</v>
      </c>
      <c r="H46" s="8" t="n">
        <v>26275</v>
      </c>
      <c r="I46" s="8" t="n">
        <v>11053</v>
      </c>
      <c r="J46" s="8" t="n">
        <v>108000</v>
      </c>
      <c r="K46" s="8" t="n">
        <v>0</v>
      </c>
      <c r="L46" s="8" t="n">
        <v>2</v>
      </c>
      <c r="M46" s="8" t="n">
        <v>5</v>
      </c>
      <c r="N46" s="8" t="n">
        <v>28</v>
      </c>
      <c r="O46" s="8" t="n">
        <v>3.25</v>
      </c>
      <c r="P46" s="8" t="n">
        <v>46.8</v>
      </c>
      <c r="Q46" s="8" t="str">
        <f aca="false">IF(P46="","",IF(P46&lt;=30,"Yes","No - 5x+ cost"))</f>
        <v>No - 5x+ cost</v>
      </c>
      <c r="R46" s="8" t="n">
        <v>3082.15</v>
      </c>
      <c r="S46" s="8" t="s">
        <v>64</v>
      </c>
      <c r="T46" s="8" t="s">
        <v>64</v>
      </c>
      <c r="U46" s="8" t="s">
        <v>71</v>
      </c>
      <c r="V46" s="8" t="n">
        <v>4</v>
      </c>
      <c r="W46" s="8" t="str">
        <f aca="false">IF(V46="","Unknown",IF(V46&lt;=45,"Active","Stale"))</f>
        <v>Active</v>
      </c>
      <c r="X46" s="8" t="str">
        <f aca="false">IF(AND(K46&gt;=1,M46&gt;0,L46/M46&gt;=0.6,D46&lt;100000),"YES","no")</f>
        <v>no</v>
      </c>
    </row>
    <row r="47" customFormat="false" ht="23.85" hidden="false" customHeight="false" outlineLevel="0" collapsed="false">
      <c r="A47" s="10" t="s">
        <v>192</v>
      </c>
      <c r="B47" s="11" t="s">
        <v>189</v>
      </c>
      <c r="C47" s="10" t="s">
        <v>69</v>
      </c>
      <c r="D47" s="10" t="n">
        <v>6470</v>
      </c>
      <c r="E47" s="10" t="s">
        <v>193</v>
      </c>
      <c r="F47" s="10" t="s">
        <v>63</v>
      </c>
      <c r="G47" s="10" t="n">
        <v>2.03</v>
      </c>
      <c r="H47" s="10" t="n">
        <v>21648</v>
      </c>
      <c r="I47" s="10" t="n">
        <v>8112</v>
      </c>
      <c r="J47" s="10" t="n">
        <v>221000</v>
      </c>
      <c r="K47" s="10" t="n">
        <v>0</v>
      </c>
      <c r="L47" s="10" t="n">
        <v>1</v>
      </c>
      <c r="M47" s="10" t="n">
        <v>5</v>
      </c>
      <c r="N47" s="10" t="n">
        <v>44</v>
      </c>
      <c r="O47" s="10" t="n">
        <v>0</v>
      </c>
      <c r="P47" s="10" t="n">
        <v>37.1</v>
      </c>
      <c r="Q47" s="10" t="str">
        <f aca="false">IF(P47="","",IF(P47&lt;=30,"Yes","No - 5x+ cost"))</f>
        <v>No - 5x+ cost</v>
      </c>
      <c r="R47" s="10" t="n">
        <v>0</v>
      </c>
      <c r="S47" s="10" t="s">
        <v>65</v>
      </c>
      <c r="T47" s="10" t="s">
        <v>65</v>
      </c>
      <c r="U47" s="10" t="s">
        <v>194</v>
      </c>
      <c r="V47" s="10" t="n">
        <v>65</v>
      </c>
      <c r="W47" s="10" t="str">
        <f aca="false">IF(V47="","Unknown",IF(V47&lt;=45,"Active","Stale"))</f>
        <v>Stale</v>
      </c>
      <c r="X47" s="10" t="str">
        <f aca="false">IF(AND(K47&gt;=1,M47&gt;0,L47/M47&gt;=0.6,D47&lt;100000),"YES","no")</f>
        <v>no</v>
      </c>
    </row>
    <row r="48" customFormat="false" ht="23.85" hidden="false" customHeight="false" outlineLevel="0" collapsed="false">
      <c r="A48" s="8" t="s">
        <v>195</v>
      </c>
      <c r="B48" s="9" t="s">
        <v>196</v>
      </c>
      <c r="C48" s="8" t="s">
        <v>69</v>
      </c>
      <c r="D48" s="8" t="n">
        <v>6010</v>
      </c>
      <c r="E48" s="8" t="s">
        <v>161</v>
      </c>
      <c r="F48" s="8" t="s">
        <v>63</v>
      </c>
      <c r="G48" s="8" t="n">
        <v>4.4</v>
      </c>
      <c r="H48" s="8" t="n">
        <v>56209</v>
      </c>
      <c r="I48" s="8" t="n">
        <v>16851</v>
      </c>
      <c r="J48" s="8" t="n">
        <v>224000</v>
      </c>
      <c r="K48" s="8" t="n">
        <v>0</v>
      </c>
      <c r="L48" s="8" t="n">
        <v>3</v>
      </c>
      <c r="M48" s="8" t="n">
        <v>5</v>
      </c>
      <c r="N48" s="8" t="n">
        <v>12</v>
      </c>
      <c r="O48" s="8" t="n">
        <v>0.75</v>
      </c>
      <c r="P48" s="8" t="n">
        <v>8.9</v>
      </c>
      <c r="Q48" s="8" t="str">
        <f aca="false">IF(P48="","",IF(P48&lt;=30,"Yes","No - 5x+ cost"))</f>
        <v>Yes</v>
      </c>
      <c r="R48" s="8" t="n">
        <v>102.7</v>
      </c>
      <c r="S48" s="8" t="s">
        <v>64</v>
      </c>
      <c r="T48" s="8" t="s">
        <v>65</v>
      </c>
      <c r="U48" s="8" t="s">
        <v>115</v>
      </c>
      <c r="V48" s="8" t="n">
        <v>7</v>
      </c>
      <c r="W48" s="8" t="str">
        <f aca="false">IF(V48="","Unknown",IF(V48&lt;=45,"Active","Stale"))</f>
        <v>Active</v>
      </c>
      <c r="X48" s="8" t="str">
        <f aca="false">IF(AND(K48&gt;=1,M48&gt;0,L48/M48&gt;=0.6,D48&lt;100000),"YES","no")</f>
        <v>no</v>
      </c>
    </row>
    <row r="49" customFormat="false" ht="23.85" hidden="false" customHeight="false" outlineLevel="0" collapsed="false">
      <c r="A49" s="10" t="s">
        <v>197</v>
      </c>
      <c r="B49" s="11" t="s">
        <v>198</v>
      </c>
      <c r="C49" s="10" t="s">
        <v>69</v>
      </c>
      <c r="D49" s="10" t="n">
        <v>6010</v>
      </c>
      <c r="E49" s="10" t="s">
        <v>88</v>
      </c>
      <c r="F49" s="10" t="s">
        <v>63</v>
      </c>
      <c r="G49" s="10" t="n">
        <v>2.28</v>
      </c>
      <c r="H49" s="10" t="n">
        <v>31149</v>
      </c>
      <c r="I49" s="10" t="n">
        <v>9022</v>
      </c>
      <c r="J49" s="10" t="n">
        <v>237000</v>
      </c>
      <c r="K49" s="10" t="n">
        <v>0</v>
      </c>
      <c r="L49" s="10" t="n">
        <v>2</v>
      </c>
      <c r="M49" s="10" t="n">
        <v>5</v>
      </c>
      <c r="N49" s="10" t="n">
        <v>20</v>
      </c>
      <c r="O49" s="10" t="n">
        <v>1.75</v>
      </c>
      <c r="P49" s="10" t="n">
        <v>44.3</v>
      </c>
      <c r="Q49" s="10" t="str">
        <f aca="false">IF(P49="","",IF(P49&lt;=30,"Yes","No - 5x+ cost"))</f>
        <v>No - 5x+ cost</v>
      </c>
      <c r="R49" s="10" t="n">
        <v>1071.42</v>
      </c>
      <c r="S49" s="10" t="s">
        <v>64</v>
      </c>
      <c r="T49" s="10" t="s">
        <v>65</v>
      </c>
      <c r="U49" s="10" t="s">
        <v>71</v>
      </c>
      <c r="V49" s="10" t="n">
        <v>4</v>
      </c>
      <c r="W49" s="10" t="str">
        <f aca="false">IF(V49="","Unknown",IF(V49&lt;=45,"Active","Stale"))</f>
        <v>Active</v>
      </c>
      <c r="X49" s="10" t="str">
        <f aca="false">IF(AND(K49&gt;=1,M49&gt;0,L49/M49&gt;=0.6,D49&lt;100000),"YES","no")</f>
        <v>no</v>
      </c>
    </row>
    <row r="50" customFormat="false" ht="15" hidden="false" customHeight="false" outlineLevel="0" collapsed="false">
      <c r="A50" s="8" t="s">
        <v>199</v>
      </c>
      <c r="B50" s="9" t="s">
        <v>127</v>
      </c>
      <c r="C50" s="8" t="s">
        <v>78</v>
      </c>
      <c r="D50" s="8" t="n">
        <v>5910</v>
      </c>
      <c r="E50" s="8" t="s">
        <v>200</v>
      </c>
      <c r="F50" s="8" t="s">
        <v>63</v>
      </c>
      <c r="G50" s="8" t="n">
        <v>2.29</v>
      </c>
      <c r="H50" s="8" t="n">
        <v>16684</v>
      </c>
      <c r="I50" s="8" t="n">
        <v>8752</v>
      </c>
      <c r="J50" s="8" t="n">
        <v>102000</v>
      </c>
      <c r="K50" s="8" t="n">
        <v>0</v>
      </c>
      <c r="L50" s="8" t="n">
        <v>1</v>
      </c>
      <c r="M50" s="8" t="n">
        <v>5</v>
      </c>
      <c r="N50" s="8" t="n">
        <v>56</v>
      </c>
      <c r="O50" s="8" t="n">
        <v>10.25</v>
      </c>
      <c r="P50" s="8" t="n">
        <v>56.7</v>
      </c>
      <c r="Q50" s="8" t="str">
        <f aca="false">IF(P50="","",IF(P50&lt;=30,"Yes","No - 5x+ cost"))</f>
        <v>No - 5x+ cost</v>
      </c>
      <c r="R50" s="8" t="n">
        <v>4359.18</v>
      </c>
      <c r="S50" s="8" t="s">
        <v>64</v>
      </c>
      <c r="T50" s="8" t="s">
        <v>64</v>
      </c>
      <c r="U50" s="8" t="s">
        <v>71</v>
      </c>
      <c r="V50" s="8" t="n">
        <v>4</v>
      </c>
      <c r="W50" s="8" t="str">
        <f aca="false">IF(V50="","Unknown",IF(V50&lt;=45,"Active","Stale"))</f>
        <v>Active</v>
      </c>
      <c r="X50" s="8" t="str">
        <f aca="false">IF(AND(K50&gt;=1,M50&gt;0,L50/M50&gt;=0.6,D50&lt;100000),"YES","no")</f>
        <v>no</v>
      </c>
    </row>
    <row r="51" customFormat="false" ht="15" hidden="false" customHeight="false" outlineLevel="0" collapsed="false">
      <c r="A51" s="10" t="s">
        <v>201</v>
      </c>
      <c r="B51" s="11" t="s">
        <v>117</v>
      </c>
      <c r="C51" s="10" t="s">
        <v>118</v>
      </c>
      <c r="D51" s="10" t="n">
        <v>5770</v>
      </c>
      <c r="E51" s="10" t="s">
        <v>202</v>
      </c>
      <c r="F51" s="10" t="s">
        <v>63</v>
      </c>
      <c r="G51" s="10" t="n">
        <v>17.62</v>
      </c>
      <c r="H51" s="10" t="n">
        <v>130153</v>
      </c>
      <c r="I51" s="10" t="n">
        <v>67213</v>
      </c>
      <c r="J51" s="10" t="n">
        <v>404000</v>
      </c>
      <c r="K51" s="10" t="n">
        <v>0</v>
      </c>
      <c r="L51" s="10" t="n">
        <v>3</v>
      </c>
      <c r="M51" s="10" t="n">
        <v>5</v>
      </c>
      <c r="N51" s="10" t="n">
        <v>8</v>
      </c>
      <c r="O51" s="10" t="n">
        <v>1.5</v>
      </c>
      <c r="P51" s="10" t="n">
        <v>9.5</v>
      </c>
      <c r="Q51" s="10" t="str">
        <f aca="false">IF(P51="","",IF(P51&lt;=30,"Yes","No - 5x+ cost"))</f>
        <v>Yes</v>
      </c>
      <c r="R51" s="10" t="n">
        <v>1881.94</v>
      </c>
      <c r="S51" s="10" t="s">
        <v>64</v>
      </c>
      <c r="T51" s="10" t="s">
        <v>65</v>
      </c>
      <c r="U51" s="10" t="s">
        <v>167</v>
      </c>
      <c r="V51" s="10" t="n">
        <v>6</v>
      </c>
      <c r="W51" s="10" t="str">
        <f aca="false">IF(V51="","Unknown",IF(V51&lt;=45,"Active","Stale"))</f>
        <v>Active</v>
      </c>
      <c r="X51" s="10" t="str">
        <f aca="false">IF(AND(K51&gt;=1,M51&gt;0,L51/M51&gt;=0.6,D51&lt;100000),"YES","no")</f>
        <v>no</v>
      </c>
    </row>
    <row r="52" customFormat="false" ht="23.85" hidden="false" customHeight="false" outlineLevel="0" collapsed="false">
      <c r="A52" s="8" t="s">
        <v>203</v>
      </c>
      <c r="B52" s="9" t="s">
        <v>204</v>
      </c>
      <c r="C52" s="8" t="s">
        <v>69</v>
      </c>
      <c r="D52" s="8" t="n">
        <v>5720</v>
      </c>
      <c r="E52" s="8" t="s">
        <v>145</v>
      </c>
      <c r="F52" s="8" t="s">
        <v>63</v>
      </c>
      <c r="G52" s="8" t="n">
        <v>3.68</v>
      </c>
      <c r="H52" s="8" t="n">
        <v>53102</v>
      </c>
      <c r="I52" s="8" t="n">
        <v>14301</v>
      </c>
      <c r="J52" s="8" t="n">
        <v>443000</v>
      </c>
      <c r="K52" s="8" t="n">
        <v>0</v>
      </c>
      <c r="L52" s="8" t="n">
        <v>3</v>
      </c>
      <c r="M52" s="8" t="n">
        <v>5</v>
      </c>
      <c r="N52" s="8" t="n">
        <v>27</v>
      </c>
      <c r="O52" s="8" t="n">
        <v>2.5</v>
      </c>
      <c r="P52" s="8" t="n">
        <v>40.4</v>
      </c>
      <c r="Q52" s="8" t="str">
        <f aca="false">IF(P52="","",IF(P52&lt;=30,"Yes","No - 5x+ cost"))</f>
        <v>No - 5x+ cost</v>
      </c>
      <c r="R52" s="8" t="n">
        <v>2837.77</v>
      </c>
      <c r="S52" s="8" t="s">
        <v>64</v>
      </c>
      <c r="T52" s="8" t="s">
        <v>65</v>
      </c>
      <c r="U52" s="8" t="s">
        <v>71</v>
      </c>
      <c r="V52" s="8" t="n">
        <v>4</v>
      </c>
      <c r="W52" s="8" t="str">
        <f aca="false">IF(V52="","Unknown",IF(V52&lt;=45,"Active","Stale"))</f>
        <v>Active</v>
      </c>
      <c r="X52" s="8" t="str">
        <f aca="false">IF(AND(K52&gt;=1,M52&gt;0,L52/M52&gt;=0.6,D52&lt;100000),"YES","no")</f>
        <v>no</v>
      </c>
    </row>
    <row r="53" customFormat="false" ht="23.85" hidden="false" customHeight="false" outlineLevel="0" collapsed="false">
      <c r="A53" s="10" t="s">
        <v>205</v>
      </c>
      <c r="B53" s="11" t="s">
        <v>189</v>
      </c>
      <c r="C53" s="10" t="s">
        <v>69</v>
      </c>
      <c r="D53" s="10" t="n">
        <v>5560</v>
      </c>
      <c r="E53" s="10" t="s">
        <v>206</v>
      </c>
      <c r="F53" s="10" t="s">
        <v>63</v>
      </c>
      <c r="G53" s="10" t="n">
        <v>2.03</v>
      </c>
      <c r="H53" s="10" t="n">
        <v>18223</v>
      </c>
      <c r="I53" s="10" t="n">
        <v>7749</v>
      </c>
      <c r="J53" s="10" t="n">
        <v>118000</v>
      </c>
      <c r="K53" s="10" t="n">
        <v>0</v>
      </c>
      <c r="L53" s="10" t="n">
        <v>1</v>
      </c>
      <c r="M53" s="10" t="n">
        <v>5</v>
      </c>
      <c r="N53" s="10" t="n">
        <v>26</v>
      </c>
      <c r="O53" s="10" t="n">
        <v>1.25</v>
      </c>
      <c r="P53" s="10" t="n">
        <v>25.7</v>
      </c>
      <c r="Q53" s="10" t="str">
        <f aca="false">IF(P53="","",IF(P53&lt;=30,"Yes","No - 5x+ cost"))</f>
        <v>Yes</v>
      </c>
      <c r="R53" s="10" t="n">
        <v>543.01</v>
      </c>
      <c r="S53" s="10" t="s">
        <v>64</v>
      </c>
      <c r="T53" s="10" t="s">
        <v>65</v>
      </c>
      <c r="U53" s="10" t="s">
        <v>71</v>
      </c>
      <c r="V53" s="10" t="n">
        <v>4</v>
      </c>
      <c r="W53" s="10" t="str">
        <f aca="false">IF(V53="","Unknown",IF(V53&lt;=45,"Active","Stale"))</f>
        <v>Active</v>
      </c>
      <c r="X53" s="10" t="str">
        <f aca="false">IF(AND(K53&gt;=1,M53&gt;0,L53/M53&gt;=0.6,D53&lt;100000),"YES","no")</f>
        <v>no</v>
      </c>
    </row>
    <row r="54" customFormat="false" ht="15" hidden="false" customHeight="false" outlineLevel="0" collapsed="false">
      <c r="A54" s="8" t="s">
        <v>207</v>
      </c>
      <c r="B54" s="9" t="s">
        <v>208</v>
      </c>
      <c r="C54" s="8" t="s">
        <v>209</v>
      </c>
      <c r="D54" s="8" t="n">
        <v>5550</v>
      </c>
      <c r="E54" s="8" t="s">
        <v>210</v>
      </c>
      <c r="F54" s="8" t="s">
        <v>63</v>
      </c>
      <c r="G54" s="8" t="n">
        <v>9.32</v>
      </c>
      <c r="H54" s="8" t="n">
        <v>77801</v>
      </c>
      <c r="I54" s="8" t="n">
        <v>35505</v>
      </c>
      <c r="J54" s="8" t="n">
        <v>400000</v>
      </c>
      <c r="K54" s="8" t="n">
        <v>0</v>
      </c>
      <c r="L54" s="8" t="n">
        <v>5</v>
      </c>
      <c r="M54" s="8" t="n">
        <v>5</v>
      </c>
      <c r="N54" s="8" t="n">
        <v>51</v>
      </c>
      <c r="O54" s="8" t="n">
        <v>6.75</v>
      </c>
      <c r="P54" s="8" t="n">
        <v>32.3</v>
      </c>
      <c r="Q54" s="8" t="str">
        <f aca="false">IF(P54="","",IF(P54&lt;=30,"Yes","No - 5x+ cost"))</f>
        <v>No - 5x+ cost</v>
      </c>
      <c r="R54" s="8" t="n">
        <v>9333.02</v>
      </c>
      <c r="S54" s="8" t="s">
        <v>64</v>
      </c>
      <c r="T54" s="8" t="s">
        <v>65</v>
      </c>
      <c r="U54" s="8" t="s">
        <v>71</v>
      </c>
      <c r="V54" s="8" t="n">
        <v>4</v>
      </c>
      <c r="W54" s="8" t="str">
        <f aca="false">IF(V54="","Unknown",IF(V54&lt;=45,"Active","Stale"))</f>
        <v>Active</v>
      </c>
      <c r="X54" s="8" t="str">
        <f aca="false">IF(AND(K54&gt;=1,M54&gt;0,L54/M54&gt;=0.6,D54&lt;100000),"YES","no")</f>
        <v>no</v>
      </c>
    </row>
    <row r="55" customFormat="false" ht="15" hidden="false" customHeight="false" outlineLevel="0" collapsed="false">
      <c r="A55" s="10" t="s">
        <v>211</v>
      </c>
      <c r="B55" s="11" t="s">
        <v>212</v>
      </c>
      <c r="C55" s="10" t="s">
        <v>118</v>
      </c>
      <c r="D55" s="10" t="n">
        <v>5470</v>
      </c>
      <c r="E55" s="10" t="s">
        <v>213</v>
      </c>
      <c r="F55" s="10" t="s">
        <v>63</v>
      </c>
      <c r="G55" s="10" t="n">
        <v>4.78</v>
      </c>
      <c r="H55" s="10" t="n">
        <v>98094</v>
      </c>
      <c r="I55" s="10" t="n">
        <v>23916</v>
      </c>
      <c r="J55" s="10" t="n">
        <v>1500000</v>
      </c>
      <c r="K55" s="10" t="n">
        <v>2</v>
      </c>
      <c r="L55" s="10" t="n">
        <v>5</v>
      </c>
      <c r="M55" s="10" t="n">
        <v>5</v>
      </c>
      <c r="N55" s="10" t="n">
        <v>59</v>
      </c>
      <c r="O55" s="10" t="n">
        <v>6.25</v>
      </c>
      <c r="P55" s="10" t="n">
        <v>13.5</v>
      </c>
      <c r="Q55" s="10" t="str">
        <f aca="false">IF(P55="","",IF(P55&lt;=30,"Yes","No - 5x+ cost"))</f>
        <v>Yes</v>
      </c>
      <c r="R55" s="10" t="n">
        <v>12427.49</v>
      </c>
      <c r="S55" s="10" t="s">
        <v>64</v>
      </c>
      <c r="T55" s="10" t="s">
        <v>65</v>
      </c>
      <c r="U55" s="10" t="s">
        <v>71</v>
      </c>
      <c r="V55" s="10" t="n">
        <v>4</v>
      </c>
      <c r="W55" s="10" t="str">
        <f aca="false">IF(V55="","Unknown",IF(V55&lt;=45,"Active","Stale"))</f>
        <v>Active</v>
      </c>
      <c r="X55" s="10" t="str">
        <f aca="false">IF(AND(K55&gt;=1,M55&gt;0,L55/M55&gt;=0.6,D55&lt;100000),"YES","no")</f>
        <v>YES</v>
      </c>
    </row>
    <row r="56" customFormat="false" ht="15" hidden="false" customHeight="false" outlineLevel="0" collapsed="false">
      <c r="A56" s="8" t="s">
        <v>214</v>
      </c>
      <c r="B56" s="9" t="s">
        <v>179</v>
      </c>
      <c r="C56" s="8" t="s">
        <v>118</v>
      </c>
      <c r="D56" s="8" t="n">
        <v>5420</v>
      </c>
      <c r="E56" s="8" t="s">
        <v>215</v>
      </c>
      <c r="F56" s="8" t="s">
        <v>63</v>
      </c>
      <c r="G56" s="8" t="n">
        <v>6.62</v>
      </c>
      <c r="H56" s="8" t="n">
        <v>69438</v>
      </c>
      <c r="I56" s="8" t="n">
        <v>25367</v>
      </c>
      <c r="J56" s="8" t="n">
        <v>985000</v>
      </c>
      <c r="K56" s="8" t="n">
        <v>1</v>
      </c>
      <c r="L56" s="8" t="n">
        <v>5</v>
      </c>
      <c r="M56" s="8" t="n">
        <v>5</v>
      </c>
      <c r="N56" s="8" t="n">
        <v>38</v>
      </c>
      <c r="O56" s="8" t="n">
        <v>1</v>
      </c>
      <c r="P56" s="8" t="n">
        <v>11.1</v>
      </c>
      <c r="Q56" s="8" t="str">
        <f aca="false">IF(P56="","",IF(P56&lt;=30,"Yes","No - 5x+ cost"))</f>
        <v>Yes</v>
      </c>
      <c r="R56" s="8" t="n">
        <v>810.35</v>
      </c>
      <c r="S56" s="8" t="s">
        <v>64</v>
      </c>
      <c r="T56" s="8" t="s">
        <v>65</v>
      </c>
      <c r="U56" s="8" t="s">
        <v>115</v>
      </c>
      <c r="V56" s="8" t="n">
        <v>7</v>
      </c>
      <c r="W56" s="8" t="str">
        <f aca="false">IF(V56="","Unknown",IF(V56&lt;=45,"Active","Stale"))</f>
        <v>Active</v>
      </c>
      <c r="X56" s="8" t="str">
        <f aca="false">IF(AND(K56&gt;=1,M56&gt;0,L56/M56&gt;=0.6,D56&lt;100000),"YES","no")</f>
        <v>YES</v>
      </c>
    </row>
    <row r="57" customFormat="false" ht="23.85" hidden="false" customHeight="false" outlineLevel="0" collapsed="false">
      <c r="A57" s="10" t="s">
        <v>216</v>
      </c>
      <c r="B57" s="11" t="s">
        <v>217</v>
      </c>
      <c r="C57" s="10" t="s">
        <v>61</v>
      </c>
      <c r="D57" s="10" t="n">
        <v>5350</v>
      </c>
      <c r="E57" s="10" t="s">
        <v>218</v>
      </c>
      <c r="F57" s="10" t="s">
        <v>63</v>
      </c>
      <c r="G57" s="10" t="n">
        <v>2.53</v>
      </c>
      <c r="H57" s="10" t="n">
        <v>31755</v>
      </c>
      <c r="I57" s="10" t="n">
        <v>9705</v>
      </c>
      <c r="J57" s="10" t="n">
        <v>298000</v>
      </c>
      <c r="K57" s="10" t="n">
        <v>0</v>
      </c>
      <c r="L57" s="10" t="n">
        <v>2</v>
      </c>
      <c r="M57" s="10" t="n">
        <v>5</v>
      </c>
      <c r="N57" s="10" t="n">
        <v>24</v>
      </c>
      <c r="O57" s="10" t="n">
        <v>1.5</v>
      </c>
      <c r="P57" s="10" t="n">
        <v>32.6</v>
      </c>
      <c r="Q57" s="10" t="str">
        <f aca="false">IF(P57="","",IF(P57&lt;=30,"Yes","No - 5x+ cost"))</f>
        <v>No - 5x+ cost</v>
      </c>
      <c r="R57" s="10" t="n">
        <v>392.34</v>
      </c>
      <c r="S57" s="10" t="s">
        <v>64</v>
      </c>
      <c r="T57" s="10" t="s">
        <v>65</v>
      </c>
      <c r="U57" s="10" t="s">
        <v>173</v>
      </c>
      <c r="V57" s="10" t="n">
        <v>5</v>
      </c>
      <c r="W57" s="10" t="str">
        <f aca="false">IF(V57="","Unknown",IF(V57&lt;=45,"Active","Stale"))</f>
        <v>Active</v>
      </c>
      <c r="X57" s="10" t="str">
        <f aca="false">IF(AND(K57&gt;=1,M57&gt;0,L57/M57&gt;=0.6,D57&lt;100000),"YES","no")</f>
        <v>no</v>
      </c>
    </row>
    <row r="58" customFormat="false" ht="23.85" hidden="false" customHeight="false" outlineLevel="0" collapsed="false">
      <c r="A58" s="8" t="s">
        <v>219</v>
      </c>
      <c r="B58" s="9" t="s">
        <v>220</v>
      </c>
      <c r="C58" s="8" t="s">
        <v>69</v>
      </c>
      <c r="D58" s="8" t="n">
        <v>5340</v>
      </c>
      <c r="E58" s="8" t="s">
        <v>221</v>
      </c>
      <c r="F58" s="8" t="s">
        <v>63</v>
      </c>
      <c r="G58" s="8" t="n">
        <v>9.24</v>
      </c>
      <c r="H58" s="8" t="n">
        <v>123052</v>
      </c>
      <c r="I58" s="8" t="n">
        <v>35384</v>
      </c>
      <c r="J58" s="8" t="n">
        <v>231000</v>
      </c>
      <c r="K58" s="8" t="n">
        <v>0</v>
      </c>
      <c r="L58" s="8" t="n">
        <v>1</v>
      </c>
      <c r="M58" s="8" t="n">
        <v>5</v>
      </c>
      <c r="N58" s="8" t="n">
        <v>16</v>
      </c>
      <c r="O58" s="8" t="n">
        <v>0</v>
      </c>
      <c r="P58" s="8" t="n">
        <v>2.4</v>
      </c>
      <c r="Q58" s="8" t="str">
        <f aca="false">IF(P58="","",IF(P58&lt;=30,"Yes","No - 5x+ cost"))</f>
        <v>Yes</v>
      </c>
      <c r="R58" s="8" t="n">
        <v>290.88</v>
      </c>
      <c r="S58" s="8" t="s">
        <v>64</v>
      </c>
      <c r="T58" s="8" t="s">
        <v>65</v>
      </c>
      <c r="U58" s="8" t="s">
        <v>222</v>
      </c>
      <c r="V58" s="8" t="n">
        <v>77</v>
      </c>
      <c r="W58" s="8" t="str">
        <f aca="false">IF(V58="","Unknown",IF(V58&lt;=45,"Active","Stale"))</f>
        <v>Stale</v>
      </c>
      <c r="X58" s="8" t="str">
        <f aca="false">IF(AND(K58&gt;=1,M58&gt;0,L58/M58&gt;=0.6,D58&lt;100000),"YES","no")</f>
        <v>no</v>
      </c>
    </row>
    <row r="59" customFormat="false" ht="15" hidden="false" customHeight="false" outlineLevel="0" collapsed="false">
      <c r="A59" s="10" t="s">
        <v>223</v>
      </c>
      <c r="B59" s="11" t="s">
        <v>172</v>
      </c>
      <c r="C59" s="10" t="s">
        <v>78</v>
      </c>
      <c r="D59" s="10" t="n">
        <v>5330</v>
      </c>
      <c r="E59" s="10" t="s">
        <v>157</v>
      </c>
      <c r="F59" s="10" t="s">
        <v>63</v>
      </c>
      <c r="G59" s="10" t="n">
        <v>3.06</v>
      </c>
      <c r="H59" s="10" t="n">
        <v>17984</v>
      </c>
      <c r="I59" s="10" t="n">
        <v>11724</v>
      </c>
      <c r="J59" s="10" t="n">
        <v>65000</v>
      </c>
      <c r="K59" s="10" t="n">
        <v>0</v>
      </c>
      <c r="L59" s="10" t="n">
        <v>0</v>
      </c>
      <c r="M59" s="10" t="n">
        <v>5</v>
      </c>
      <c r="N59" s="10" t="n">
        <v>20</v>
      </c>
      <c r="O59" s="10" t="n">
        <v>1.5</v>
      </c>
      <c r="P59" s="10" t="n">
        <v>40.4</v>
      </c>
      <c r="Q59" s="10" t="str">
        <f aca="false">IF(P59="","",IF(P59&lt;=30,"Yes","No - 5x+ cost"))</f>
        <v>No - 5x+ cost</v>
      </c>
      <c r="R59" s="10" t="n">
        <v>566.5</v>
      </c>
      <c r="S59" s="10" t="s">
        <v>64</v>
      </c>
      <c r="T59" s="10" t="s">
        <v>65</v>
      </c>
      <c r="U59" s="10" t="s">
        <v>71</v>
      </c>
      <c r="V59" s="10" t="n">
        <v>4</v>
      </c>
      <c r="W59" s="10" t="str">
        <f aca="false">IF(V59="","Unknown",IF(V59&lt;=45,"Active","Stale"))</f>
        <v>Active</v>
      </c>
      <c r="X59" s="10" t="str">
        <f aca="false">IF(AND(K59&gt;=1,M59&gt;0,L59/M59&gt;=0.6,D59&lt;100000),"YES","no")</f>
        <v>no</v>
      </c>
    </row>
    <row r="60" customFormat="false" ht="23.85" hidden="false" customHeight="false" outlineLevel="0" collapsed="false">
      <c r="A60" s="8" t="s">
        <v>224</v>
      </c>
      <c r="B60" s="9" t="s">
        <v>125</v>
      </c>
      <c r="C60" s="8" t="s">
        <v>61</v>
      </c>
      <c r="D60" s="8" t="n">
        <v>5070</v>
      </c>
      <c r="E60" s="8" t="s">
        <v>161</v>
      </c>
      <c r="F60" s="8" t="s">
        <v>63</v>
      </c>
      <c r="G60" s="8" t="n">
        <v>2.91</v>
      </c>
      <c r="H60" s="8" t="n">
        <v>38248</v>
      </c>
      <c r="I60" s="8" t="n">
        <v>11138</v>
      </c>
      <c r="J60" s="8" t="n">
        <v>271000</v>
      </c>
      <c r="K60" s="8" t="n">
        <v>0</v>
      </c>
      <c r="L60" s="8" t="n">
        <v>5</v>
      </c>
      <c r="M60" s="8" t="n">
        <v>5</v>
      </c>
      <c r="N60" s="8" t="n">
        <v>38</v>
      </c>
      <c r="O60" s="8" t="n">
        <v>1.75</v>
      </c>
      <c r="P60" s="8" t="n">
        <v>6.2</v>
      </c>
      <c r="Q60" s="8" t="str">
        <f aca="false">IF(P60="","",IF(P60&lt;=30,"Yes","No - 5x+ cost"))</f>
        <v>Yes</v>
      </c>
      <c r="R60" s="8" t="n">
        <v>0</v>
      </c>
      <c r="S60" s="8" t="s">
        <v>65</v>
      </c>
      <c r="T60" s="8" t="s">
        <v>65</v>
      </c>
      <c r="U60" s="8" t="s">
        <v>71</v>
      </c>
      <c r="V60" s="8" t="n">
        <v>4</v>
      </c>
      <c r="W60" s="8" t="str">
        <f aca="false">IF(V60="","Unknown",IF(V60&lt;=45,"Active","Stale"))</f>
        <v>Active</v>
      </c>
      <c r="X60" s="8" t="str">
        <f aca="false">IF(AND(K60&gt;=1,M60&gt;0,L60/M60&gt;=0.6,D60&lt;100000),"YES","no")</f>
        <v>no</v>
      </c>
    </row>
    <row r="61" customFormat="false" ht="15" hidden="false" customHeight="false" outlineLevel="0" collapsed="false">
      <c r="A61" s="10" t="s">
        <v>225</v>
      </c>
      <c r="B61" s="11" t="s">
        <v>226</v>
      </c>
      <c r="C61" s="10" t="s">
        <v>98</v>
      </c>
      <c r="D61" s="10" t="n">
        <v>4980</v>
      </c>
      <c r="E61" s="10" t="s">
        <v>148</v>
      </c>
      <c r="F61" s="10" t="s">
        <v>63</v>
      </c>
      <c r="G61" s="10" t="n">
        <v>2.8</v>
      </c>
      <c r="H61" s="10" t="n">
        <v>17923</v>
      </c>
      <c r="I61" s="10" t="n">
        <v>10737</v>
      </c>
      <c r="J61" s="10" t="n">
        <v>82000</v>
      </c>
      <c r="K61" s="10" t="n">
        <v>0</v>
      </c>
      <c r="L61" s="10" t="n">
        <v>0</v>
      </c>
      <c r="M61" s="10" t="n">
        <v>5</v>
      </c>
      <c r="N61" s="10" t="n">
        <v>47</v>
      </c>
      <c r="O61" s="10" t="n">
        <v>1.75</v>
      </c>
      <c r="P61" s="10" t="n">
        <v>12</v>
      </c>
      <c r="Q61" s="10" t="str">
        <f aca="false">IF(P61="","",IF(P61&lt;=30,"Yes","No - 5x+ cost"))</f>
        <v>Yes</v>
      </c>
      <c r="R61" s="10" t="n">
        <v>280.78</v>
      </c>
      <c r="S61" s="10" t="s">
        <v>64</v>
      </c>
      <c r="T61" s="10" t="s">
        <v>65</v>
      </c>
      <c r="U61" s="10" t="s">
        <v>80</v>
      </c>
      <c r="V61" s="10" t="n">
        <v>9</v>
      </c>
      <c r="W61" s="10" t="str">
        <f aca="false">IF(V61="","Unknown",IF(V61&lt;=45,"Active","Stale"))</f>
        <v>Active</v>
      </c>
      <c r="X61" s="10" t="str">
        <f aca="false">IF(AND(K61&gt;=1,M61&gt;0,L61/M61&gt;=0.6,D61&lt;100000),"YES","no")</f>
        <v>no</v>
      </c>
    </row>
    <row r="62" customFormat="false" ht="35.05" hidden="false" customHeight="false" outlineLevel="0" collapsed="false">
      <c r="A62" s="8" t="s">
        <v>227</v>
      </c>
      <c r="B62" s="9" t="s">
        <v>103</v>
      </c>
      <c r="C62" s="8" t="s">
        <v>69</v>
      </c>
      <c r="D62" s="8" t="n">
        <v>4880</v>
      </c>
      <c r="E62" s="8" t="s">
        <v>95</v>
      </c>
      <c r="F62" s="8" t="s">
        <v>63</v>
      </c>
      <c r="G62" s="8" t="n">
        <v>2.04</v>
      </c>
      <c r="H62" s="8" t="n">
        <v>105730</v>
      </c>
      <c r="I62" s="8" t="n">
        <v>7814</v>
      </c>
      <c r="J62" s="8" t="n">
        <v>683000</v>
      </c>
      <c r="K62" s="8" t="n">
        <v>2</v>
      </c>
      <c r="L62" s="8" t="n">
        <v>3</v>
      </c>
      <c r="M62" s="8" t="n">
        <v>5</v>
      </c>
      <c r="N62" s="8" t="n">
        <v>16</v>
      </c>
      <c r="O62" s="8" t="n">
        <v>1</v>
      </c>
      <c r="P62" s="8" t="n">
        <v>13.1</v>
      </c>
      <c r="Q62" s="8" t="str">
        <f aca="false">IF(P62="","",IF(P62&lt;=30,"Yes","No - 5x+ cost"))</f>
        <v>Yes</v>
      </c>
      <c r="R62" s="8" t="n">
        <v>3771.91</v>
      </c>
      <c r="S62" s="8" t="s">
        <v>64</v>
      </c>
      <c r="T62" s="8" t="s">
        <v>65</v>
      </c>
      <c r="U62" s="8" t="s">
        <v>71</v>
      </c>
      <c r="V62" s="8" t="n">
        <v>4</v>
      </c>
      <c r="W62" s="8" t="str">
        <f aca="false">IF(V62="","Unknown",IF(V62&lt;=45,"Active","Stale"))</f>
        <v>Active</v>
      </c>
      <c r="X62" s="8" t="str">
        <f aca="false">IF(AND(K62&gt;=1,M62&gt;0,L62/M62&gt;=0.6,D62&lt;100000),"YES","no")</f>
        <v>YES</v>
      </c>
    </row>
    <row r="63" customFormat="false" ht="15" hidden="false" customHeight="false" outlineLevel="0" collapsed="false">
      <c r="A63" s="10" t="s">
        <v>228</v>
      </c>
      <c r="B63" s="11" t="s">
        <v>147</v>
      </c>
      <c r="C63" s="10" t="s">
        <v>69</v>
      </c>
      <c r="D63" s="10" t="n">
        <v>4790</v>
      </c>
      <c r="E63" s="10" t="s">
        <v>114</v>
      </c>
      <c r="F63" s="10" t="s">
        <v>63</v>
      </c>
      <c r="G63" s="10" t="n">
        <v>4.03</v>
      </c>
      <c r="H63" s="10" t="n">
        <v>28590</v>
      </c>
      <c r="I63" s="10" t="n">
        <v>15452</v>
      </c>
      <c r="J63" s="10" t="n">
        <v>118000</v>
      </c>
      <c r="K63" s="10" t="n">
        <v>0</v>
      </c>
      <c r="L63" s="10" t="n">
        <v>1</v>
      </c>
      <c r="M63" s="10" t="n">
        <v>5</v>
      </c>
      <c r="N63" s="10" t="n">
        <v>10</v>
      </c>
      <c r="O63" s="10" t="n">
        <v>0.75</v>
      </c>
      <c r="P63" s="10" t="n">
        <v>108.1</v>
      </c>
      <c r="Q63" s="10" t="str">
        <f aca="false">IF(P63="","",IF(P63&lt;=30,"Yes","No - 5x+ cost"))</f>
        <v>No - 5x+ cost</v>
      </c>
      <c r="R63" s="10" t="n">
        <v>114.02</v>
      </c>
      <c r="S63" s="10" t="s">
        <v>64</v>
      </c>
      <c r="T63" s="10" t="s">
        <v>64</v>
      </c>
      <c r="U63" s="10" t="s">
        <v>173</v>
      </c>
      <c r="V63" s="10" t="n">
        <v>5</v>
      </c>
      <c r="W63" s="10" t="str">
        <f aca="false">IF(V63="","Unknown",IF(V63&lt;=45,"Active","Stale"))</f>
        <v>Active</v>
      </c>
      <c r="X63" s="10" t="str">
        <f aca="false">IF(AND(K63&gt;=1,M63&gt;0,L63/M63&gt;=0.6,D63&lt;100000),"YES","no")</f>
        <v>no</v>
      </c>
    </row>
    <row r="64" customFormat="false" ht="23.85" hidden="false" customHeight="false" outlineLevel="0" collapsed="false">
      <c r="A64" s="8" t="s">
        <v>229</v>
      </c>
      <c r="B64" s="9" t="s">
        <v>198</v>
      </c>
      <c r="C64" s="8" t="s">
        <v>69</v>
      </c>
      <c r="D64" s="8" t="n">
        <v>4150</v>
      </c>
      <c r="E64" s="8" t="s">
        <v>230</v>
      </c>
      <c r="F64" s="8" t="s">
        <v>63</v>
      </c>
      <c r="G64" s="8" t="n">
        <v>3.84</v>
      </c>
      <c r="H64" s="8" t="n">
        <v>32652</v>
      </c>
      <c r="I64" s="8" t="n">
        <v>14700</v>
      </c>
      <c r="J64" s="8" t="n">
        <v>225000</v>
      </c>
      <c r="K64" s="8" t="n">
        <v>0</v>
      </c>
      <c r="L64" s="8" t="n">
        <v>2</v>
      </c>
      <c r="M64" s="8" t="n">
        <v>5</v>
      </c>
      <c r="N64" s="8" t="n">
        <v>24</v>
      </c>
      <c r="O64" s="8" t="n">
        <v>2.25</v>
      </c>
      <c r="P64" s="8" t="n">
        <v>44.4</v>
      </c>
      <c r="Q64" s="8" t="str">
        <f aca="false">IF(P64="","",IF(P64&lt;=30,"Yes","No - 5x+ cost"))</f>
        <v>No - 5x+ cost</v>
      </c>
      <c r="R64" s="8" t="n">
        <v>2011.71</v>
      </c>
      <c r="S64" s="8" t="s">
        <v>64</v>
      </c>
      <c r="T64" s="8" t="s">
        <v>65</v>
      </c>
      <c r="U64" s="8" t="s">
        <v>173</v>
      </c>
      <c r="V64" s="8" t="n">
        <v>5</v>
      </c>
      <c r="W64" s="8" t="str">
        <f aca="false">IF(V64="","Unknown",IF(V64&lt;=45,"Active","Stale"))</f>
        <v>Active</v>
      </c>
      <c r="X64" s="8" t="str">
        <f aca="false">IF(AND(K64&gt;=1,M64&gt;0,L64/M64&gt;=0.6,D64&lt;100000),"YES","no")</f>
        <v>no</v>
      </c>
    </row>
    <row r="65" customFormat="false" ht="23.85" hidden="false" customHeight="false" outlineLevel="0" collapsed="false">
      <c r="A65" s="10" t="s">
        <v>231</v>
      </c>
      <c r="B65" s="11" t="s">
        <v>232</v>
      </c>
      <c r="C65" s="10" t="s">
        <v>98</v>
      </c>
      <c r="D65" s="10" t="n">
        <v>4120</v>
      </c>
      <c r="E65" s="10" t="s">
        <v>233</v>
      </c>
      <c r="F65" s="10" t="s">
        <v>63</v>
      </c>
      <c r="G65" s="10" t="n">
        <v>6.68</v>
      </c>
      <c r="H65" s="10" t="n">
        <v>55091</v>
      </c>
      <c r="I65" s="10" t="n">
        <v>24926</v>
      </c>
      <c r="J65" s="10" t="n">
        <v>329000</v>
      </c>
      <c r="K65" s="10" t="n">
        <v>0</v>
      </c>
      <c r="L65" s="10" t="n">
        <v>5</v>
      </c>
      <c r="M65" s="10" t="n">
        <v>5</v>
      </c>
      <c r="N65" s="10" t="n">
        <v>32</v>
      </c>
      <c r="O65" s="10" t="n">
        <v>1.75</v>
      </c>
      <c r="P65" s="10" t="n">
        <v>158.4</v>
      </c>
      <c r="Q65" s="10" t="str">
        <f aca="false">IF(P65="","",IF(P65&lt;=30,"Yes","No - 5x+ cost"))</f>
        <v>No - 5x+ cost</v>
      </c>
      <c r="R65" s="10" t="n">
        <v>5546.14</v>
      </c>
      <c r="S65" s="10" t="s">
        <v>64</v>
      </c>
      <c r="T65" s="10" t="s">
        <v>65</v>
      </c>
      <c r="U65" s="10" t="s">
        <v>71</v>
      </c>
      <c r="V65" s="10" t="n">
        <v>4</v>
      </c>
      <c r="W65" s="10" t="str">
        <f aca="false">IF(V65="","Unknown",IF(V65&lt;=45,"Active","Stale"))</f>
        <v>Active</v>
      </c>
      <c r="X65" s="10" t="str">
        <f aca="false">IF(AND(K65&gt;=1,M65&gt;0,L65/M65&gt;=0.6,D65&lt;100000),"YES","no")</f>
        <v>no</v>
      </c>
    </row>
    <row r="66" customFormat="false" ht="15" hidden="false" customHeight="false" outlineLevel="0" collapsed="false">
      <c r="A66" s="8" t="s">
        <v>234</v>
      </c>
      <c r="B66" s="9" t="s">
        <v>212</v>
      </c>
      <c r="C66" s="8" t="s">
        <v>118</v>
      </c>
      <c r="D66" s="8" t="n">
        <v>3950</v>
      </c>
      <c r="E66" s="8" t="s">
        <v>235</v>
      </c>
      <c r="F66" s="8" t="s">
        <v>63</v>
      </c>
      <c r="G66" s="8" t="n">
        <v>3.61</v>
      </c>
      <c r="H66" s="8" t="n">
        <v>51532</v>
      </c>
      <c r="I66" s="8" t="n">
        <v>13852</v>
      </c>
      <c r="J66" s="8" t="n">
        <v>224000</v>
      </c>
      <c r="K66" s="8" t="n">
        <v>0</v>
      </c>
      <c r="L66" s="8" t="n">
        <v>2</v>
      </c>
      <c r="M66" s="8" t="n">
        <v>5</v>
      </c>
      <c r="N66" s="8" t="n">
        <v>13</v>
      </c>
      <c r="O66" s="8" t="n">
        <v>3</v>
      </c>
      <c r="P66" s="8" t="n">
        <v>15.3</v>
      </c>
      <c r="Q66" s="8" t="str">
        <f aca="false">IF(P66="","",IF(P66&lt;=30,"Yes","No - 5x+ cost"))</f>
        <v>Yes</v>
      </c>
      <c r="R66" s="8" t="n">
        <v>0</v>
      </c>
      <c r="S66" s="8" t="s">
        <v>65</v>
      </c>
      <c r="T66" s="8" t="s">
        <v>65</v>
      </c>
      <c r="U66" s="8" t="s">
        <v>167</v>
      </c>
      <c r="V66" s="8" t="n">
        <v>6</v>
      </c>
      <c r="W66" s="8" t="str">
        <f aca="false">IF(V66="","Unknown",IF(V66&lt;=45,"Active","Stale"))</f>
        <v>Active</v>
      </c>
      <c r="X66" s="8" t="str">
        <f aca="false">IF(AND(K66&gt;=1,M66&gt;0,L66/M66&gt;=0.6,D66&lt;100000),"YES","no")</f>
        <v>no</v>
      </c>
    </row>
    <row r="67" customFormat="false" ht="15" hidden="false" customHeight="false" outlineLevel="0" collapsed="false">
      <c r="A67" s="10" t="s">
        <v>236</v>
      </c>
      <c r="B67" s="11" t="s">
        <v>147</v>
      </c>
      <c r="C67" s="10" t="s">
        <v>69</v>
      </c>
      <c r="D67" s="10" t="n">
        <v>3930</v>
      </c>
      <c r="E67" s="10" t="s">
        <v>237</v>
      </c>
      <c r="F67" s="10" t="s">
        <v>63</v>
      </c>
      <c r="G67" s="10" t="n">
        <v>6.81</v>
      </c>
      <c r="H67" s="10" t="n">
        <v>26669</v>
      </c>
      <c r="I67" s="10" t="n">
        <v>25952</v>
      </c>
      <c r="J67" s="10" t="n">
        <v>28000</v>
      </c>
      <c r="K67" s="10" t="n">
        <v>0</v>
      </c>
      <c r="L67" s="10" t="n">
        <v>0</v>
      </c>
      <c r="M67" s="10" t="n">
        <v>2</v>
      </c>
      <c r="N67" s="10" t="n">
        <v>109</v>
      </c>
      <c r="O67" s="10" t="n">
        <v>5.25</v>
      </c>
      <c r="P67" s="10" t="n">
        <v>0.9</v>
      </c>
      <c r="Q67" s="10" t="str">
        <f aca="false">IF(P67="","",IF(P67&lt;=30,"Yes","No - 5x+ cost"))</f>
        <v>Yes</v>
      </c>
      <c r="R67" s="10" t="n">
        <v>94.13</v>
      </c>
      <c r="S67" s="10" t="s">
        <v>64</v>
      </c>
      <c r="T67" s="10" t="s">
        <v>65</v>
      </c>
      <c r="U67" s="10" t="s">
        <v>173</v>
      </c>
      <c r="V67" s="10" t="n">
        <v>5</v>
      </c>
      <c r="W67" s="10" t="str">
        <f aca="false">IF(V67="","Unknown",IF(V67&lt;=45,"Active","Stale"))</f>
        <v>Active</v>
      </c>
      <c r="X67" s="10" t="str">
        <f aca="false">IF(AND(K67&gt;=1,M67&gt;0,L67/M67&gt;=0.6,D67&lt;100000),"YES","no")</f>
        <v>no</v>
      </c>
    </row>
    <row r="68" customFormat="false" ht="15" hidden="false" customHeight="false" outlineLevel="0" collapsed="false">
      <c r="A68" s="8" t="s">
        <v>238</v>
      </c>
      <c r="B68" s="9" t="s">
        <v>147</v>
      </c>
      <c r="C68" s="8" t="s">
        <v>69</v>
      </c>
      <c r="D68" s="8" t="n">
        <v>3920</v>
      </c>
      <c r="E68" s="8" t="s">
        <v>239</v>
      </c>
      <c r="F68" s="8" t="s">
        <v>63</v>
      </c>
      <c r="G68" s="8" t="n">
        <v>3.37</v>
      </c>
      <c r="H68" s="8" t="n">
        <v>44497</v>
      </c>
      <c r="I68" s="8" t="n">
        <v>12932</v>
      </c>
      <c r="J68" s="8" t="n">
        <v>303000</v>
      </c>
      <c r="K68" s="8" t="n">
        <v>0</v>
      </c>
      <c r="L68" s="8" t="n">
        <v>3</v>
      </c>
      <c r="M68" s="8" t="n">
        <v>5</v>
      </c>
      <c r="N68" s="8" t="n">
        <v>18</v>
      </c>
      <c r="O68" s="8" t="n">
        <v>0</v>
      </c>
      <c r="P68" s="8" t="n">
        <v>37.4</v>
      </c>
      <c r="Q68" s="8" t="str">
        <f aca="false">IF(P68="","",IF(P68&lt;=30,"Yes","No - 5x+ cost"))</f>
        <v>No - 5x+ cost</v>
      </c>
      <c r="R68" s="8" t="n">
        <v>0</v>
      </c>
      <c r="S68" s="8" t="s">
        <v>65</v>
      </c>
      <c r="T68" s="8" t="s">
        <v>64</v>
      </c>
      <c r="U68" s="8" t="s">
        <v>240</v>
      </c>
      <c r="V68" s="8" t="n">
        <v>53</v>
      </c>
      <c r="W68" s="8" t="str">
        <f aca="false">IF(V68="","Unknown",IF(V68&lt;=45,"Active","Stale"))</f>
        <v>Stale</v>
      </c>
      <c r="X68" s="8" t="str">
        <f aca="false">IF(AND(K68&gt;=1,M68&gt;0,L68/M68&gt;=0.6,D68&lt;100000),"YES","no")</f>
        <v>no</v>
      </c>
    </row>
    <row r="69" customFormat="false" ht="23.85" hidden="false" customHeight="false" outlineLevel="0" collapsed="false">
      <c r="A69" s="10" t="s">
        <v>241</v>
      </c>
      <c r="B69" s="11" t="s">
        <v>242</v>
      </c>
      <c r="C69" s="10" t="s">
        <v>209</v>
      </c>
      <c r="D69" s="10" t="n">
        <v>3910</v>
      </c>
      <c r="E69" s="10" t="s">
        <v>243</v>
      </c>
      <c r="F69" s="10" t="s">
        <v>63</v>
      </c>
      <c r="G69" s="10" t="n">
        <v>5.09</v>
      </c>
      <c r="H69" s="10" t="n">
        <v>180924</v>
      </c>
      <c r="I69" s="10" t="n">
        <v>19494</v>
      </c>
      <c r="J69" s="10" t="n">
        <v>51000</v>
      </c>
      <c r="K69" s="10" t="n">
        <v>0</v>
      </c>
      <c r="L69" s="10" t="n">
        <v>0</v>
      </c>
      <c r="M69" s="10" t="n">
        <v>3</v>
      </c>
      <c r="N69" s="10" t="n">
        <v>42</v>
      </c>
      <c r="O69" s="10" t="n">
        <v>2.25</v>
      </c>
      <c r="P69" s="10" t="n">
        <v>1.1</v>
      </c>
      <c r="Q69" s="10" t="str">
        <f aca="false">IF(P69="","",IF(P69&lt;=30,"Yes","No - 5x+ cost"))</f>
        <v>Yes</v>
      </c>
      <c r="R69" s="10" t="n">
        <v>0</v>
      </c>
      <c r="S69" s="10" t="s">
        <v>65</v>
      </c>
      <c r="T69" s="10" t="s">
        <v>65</v>
      </c>
      <c r="U69" s="10" t="s">
        <v>167</v>
      </c>
      <c r="V69" s="10" t="n">
        <v>6</v>
      </c>
      <c r="W69" s="10" t="str">
        <f aca="false">IF(V69="","Unknown",IF(V69&lt;=45,"Active","Stale"))</f>
        <v>Active</v>
      </c>
      <c r="X69" s="10" t="str">
        <f aca="false">IF(AND(K69&gt;=1,M69&gt;0,L69/M69&gt;=0.6,D69&lt;100000),"YES","no")</f>
        <v>no</v>
      </c>
    </row>
    <row r="70" customFormat="false" ht="23.85" hidden="false" customHeight="false" outlineLevel="0" collapsed="false">
      <c r="A70" s="8" t="s">
        <v>244</v>
      </c>
      <c r="B70" s="9" t="s">
        <v>86</v>
      </c>
      <c r="C70" s="8" t="s">
        <v>61</v>
      </c>
      <c r="D70" s="8" t="n">
        <v>3880</v>
      </c>
      <c r="E70" s="8" t="s">
        <v>180</v>
      </c>
      <c r="F70" s="8" t="s">
        <v>63</v>
      </c>
      <c r="G70" s="8" t="n">
        <v>2.72</v>
      </c>
      <c r="H70" s="8" t="n">
        <v>57051</v>
      </c>
      <c r="I70" s="8" t="n">
        <v>10371</v>
      </c>
      <c r="J70" s="8" t="n">
        <v>466000</v>
      </c>
      <c r="K70" s="8" t="n">
        <v>0</v>
      </c>
      <c r="L70" s="8" t="n">
        <v>2</v>
      </c>
      <c r="M70" s="8" t="n">
        <v>5</v>
      </c>
      <c r="N70" s="8" t="n">
        <v>15</v>
      </c>
      <c r="O70" s="8" t="n">
        <v>1.5</v>
      </c>
      <c r="P70" s="8" t="n">
        <v>31.6</v>
      </c>
      <c r="Q70" s="8" t="str">
        <f aca="false">IF(P70="","",IF(P70&lt;=30,"Yes","No - 5x+ cost"))</f>
        <v>No - 5x+ cost</v>
      </c>
      <c r="R70" s="8" t="n">
        <v>2520.72</v>
      </c>
      <c r="S70" s="8" t="s">
        <v>64</v>
      </c>
      <c r="T70" s="8" t="s">
        <v>64</v>
      </c>
      <c r="U70" s="8" t="s">
        <v>173</v>
      </c>
      <c r="V70" s="8" t="n">
        <v>5</v>
      </c>
      <c r="W70" s="8" t="str">
        <f aca="false">IF(V70="","Unknown",IF(V70&lt;=45,"Active","Stale"))</f>
        <v>Active</v>
      </c>
      <c r="X70" s="8" t="str">
        <f aca="false">IF(AND(K70&gt;=1,M70&gt;0,L70/M70&gt;=0.6,D70&lt;100000),"YES","no")</f>
        <v>no</v>
      </c>
    </row>
    <row r="71" customFormat="false" ht="15" hidden="false" customHeight="false" outlineLevel="0" collapsed="false">
      <c r="A71" s="10" t="s">
        <v>245</v>
      </c>
      <c r="B71" s="11" t="s">
        <v>246</v>
      </c>
      <c r="C71" s="10" t="s">
        <v>209</v>
      </c>
      <c r="D71" s="10" t="n">
        <v>3840</v>
      </c>
      <c r="E71" s="10" t="s">
        <v>247</v>
      </c>
      <c r="F71" s="10" t="s">
        <v>63</v>
      </c>
      <c r="G71" s="10" t="n">
        <v>32.8</v>
      </c>
      <c r="H71" s="10" t="n">
        <v>220462</v>
      </c>
      <c r="I71" s="10" t="n">
        <v>125604</v>
      </c>
      <c r="J71" s="10" t="n">
        <v>848000</v>
      </c>
      <c r="K71" s="10" t="n">
        <v>1</v>
      </c>
      <c r="L71" s="10" t="n">
        <v>5</v>
      </c>
      <c r="M71" s="10" t="n">
        <v>5</v>
      </c>
      <c r="N71" s="10" t="n">
        <v>10</v>
      </c>
      <c r="O71" s="10" t="n">
        <v>1.25</v>
      </c>
      <c r="P71" s="10" t="n">
        <v>22.6</v>
      </c>
      <c r="Q71" s="10" t="str">
        <f aca="false">IF(P71="","",IF(P71&lt;=30,"Yes","No - 5x+ cost"))</f>
        <v>Yes</v>
      </c>
      <c r="R71" s="10" t="n">
        <v>5950.39</v>
      </c>
      <c r="S71" s="10" t="s">
        <v>64</v>
      </c>
      <c r="T71" s="10" t="s">
        <v>64</v>
      </c>
      <c r="U71" s="10" t="s">
        <v>152</v>
      </c>
      <c r="V71" s="10" t="n">
        <v>16</v>
      </c>
      <c r="W71" s="10" t="str">
        <f aca="false">IF(V71="","Unknown",IF(V71&lt;=45,"Active","Stale"))</f>
        <v>Active</v>
      </c>
      <c r="X71" s="10" t="str">
        <f aca="false">IF(AND(K71&gt;=1,M71&gt;0,L71/M71&gt;=0.6,D71&lt;100000),"YES","no")</f>
        <v>YES</v>
      </c>
    </row>
    <row r="72" customFormat="false" ht="23.85" hidden="false" customHeight="false" outlineLevel="0" collapsed="false">
      <c r="A72" s="8" t="s">
        <v>248</v>
      </c>
      <c r="B72" s="9" t="s">
        <v>249</v>
      </c>
      <c r="C72" s="8" t="s">
        <v>69</v>
      </c>
      <c r="D72" s="8" t="n">
        <v>3680</v>
      </c>
      <c r="E72" s="8" t="s">
        <v>250</v>
      </c>
      <c r="F72" s="8" t="s">
        <v>63</v>
      </c>
      <c r="G72" s="8" t="n">
        <v>3.19</v>
      </c>
      <c r="H72" s="8" t="n">
        <v>16783</v>
      </c>
      <c r="I72" s="8" t="n">
        <v>9556</v>
      </c>
      <c r="J72" s="8" t="n">
        <v>89000</v>
      </c>
      <c r="K72" s="8" t="n">
        <v>0</v>
      </c>
      <c r="L72" s="8" t="n">
        <v>0</v>
      </c>
      <c r="M72" s="8" t="n">
        <v>5</v>
      </c>
      <c r="N72" s="8" t="n">
        <v>53</v>
      </c>
      <c r="O72" s="8" t="n">
        <v>3.5</v>
      </c>
      <c r="P72" s="8" t="n">
        <v>30.9</v>
      </c>
      <c r="Q72" s="8" t="str">
        <f aca="false">IF(P72="","",IF(P72&lt;=30,"Yes","No - 5x+ cost"))</f>
        <v>No - 5x+ cost</v>
      </c>
      <c r="R72" s="8" t="n">
        <v>1212.88</v>
      </c>
      <c r="S72" s="8" t="s">
        <v>64</v>
      </c>
      <c r="T72" s="8" t="s">
        <v>64</v>
      </c>
      <c r="U72" s="8" t="s">
        <v>71</v>
      </c>
      <c r="V72" s="8" t="n">
        <v>4</v>
      </c>
      <c r="W72" s="8" t="str">
        <f aca="false">IF(V72="","Unknown",IF(V72&lt;=45,"Active","Stale"))</f>
        <v>Active</v>
      </c>
      <c r="X72" s="8" t="str">
        <f aca="false">IF(AND(K72&gt;=1,M72&gt;0,L72/M72&gt;=0.6,D72&lt;100000),"YES","no")</f>
        <v>no</v>
      </c>
    </row>
    <row r="73" customFormat="false" ht="15" hidden="false" customHeight="false" outlineLevel="0" collapsed="false">
      <c r="A73" s="10" t="s">
        <v>251</v>
      </c>
      <c r="B73" s="11" t="s">
        <v>179</v>
      </c>
      <c r="C73" s="10" t="s">
        <v>118</v>
      </c>
      <c r="D73" s="10" t="n">
        <v>3640</v>
      </c>
      <c r="E73" s="10" t="s">
        <v>139</v>
      </c>
      <c r="F73" s="10" t="s">
        <v>63</v>
      </c>
      <c r="G73" s="10" t="n">
        <v>3.64</v>
      </c>
      <c r="H73" s="10" t="n">
        <v>21153</v>
      </c>
      <c r="I73" s="10" t="n">
        <v>13958</v>
      </c>
      <c r="J73" s="10" t="n">
        <v>119000</v>
      </c>
      <c r="K73" s="10" t="n">
        <v>0</v>
      </c>
      <c r="L73" s="10" t="n">
        <v>1</v>
      </c>
      <c r="M73" s="10" t="n">
        <v>5</v>
      </c>
      <c r="N73" s="10" t="n">
        <v>30</v>
      </c>
      <c r="O73" s="10" t="n">
        <v>1.25</v>
      </c>
      <c r="P73" s="10" t="n">
        <v>62.4</v>
      </c>
      <c r="Q73" s="10" t="str">
        <f aca="false">IF(P73="","",IF(P73&lt;=30,"Yes","No - 5x+ cost"))</f>
        <v>No - 5x+ cost</v>
      </c>
      <c r="R73" s="10" t="n">
        <v>1384.87</v>
      </c>
      <c r="S73" s="10" t="s">
        <v>64</v>
      </c>
      <c r="T73" s="10" t="s">
        <v>65</v>
      </c>
      <c r="U73" s="10" t="s">
        <v>252</v>
      </c>
      <c r="V73" s="10" t="n">
        <v>26</v>
      </c>
      <c r="W73" s="10" t="str">
        <f aca="false">IF(V73="","Unknown",IF(V73&lt;=45,"Active","Stale"))</f>
        <v>Active</v>
      </c>
      <c r="X73" s="10" t="str">
        <f aca="false">IF(AND(K73&gt;=1,M73&gt;0,L73/M73&gt;=0.6,D73&lt;100000),"YES","no")</f>
        <v>no</v>
      </c>
    </row>
    <row r="74" customFormat="false" ht="15" hidden="false" customHeight="false" outlineLevel="0" collapsed="false">
      <c r="A74" s="8" t="s">
        <v>253</v>
      </c>
      <c r="B74" s="9" t="s">
        <v>254</v>
      </c>
      <c r="C74" s="8" t="s">
        <v>78</v>
      </c>
      <c r="D74" s="8" t="n">
        <v>3520</v>
      </c>
      <c r="E74" s="8" t="s">
        <v>255</v>
      </c>
      <c r="F74" s="8" t="s">
        <v>63</v>
      </c>
      <c r="G74" s="8" t="n">
        <v>69.75</v>
      </c>
      <c r="H74" s="8" t="n">
        <v>197669</v>
      </c>
      <c r="I74" s="8" t="n">
        <v>267979</v>
      </c>
      <c r="J74" s="8" t="n">
        <v>273000</v>
      </c>
      <c r="K74" s="8" t="n">
        <v>0</v>
      </c>
      <c r="L74" s="8" t="n">
        <v>2</v>
      </c>
      <c r="M74" s="8" t="n">
        <v>3</v>
      </c>
      <c r="N74" s="8" t="n">
        <v>3</v>
      </c>
      <c r="O74" s="8" t="n">
        <v>0.75</v>
      </c>
      <c r="P74" s="8" t="n">
        <v>31.2</v>
      </c>
      <c r="Q74" s="8" t="str">
        <f aca="false">IF(P74="","",IF(P74&lt;=30,"Yes","No - 5x+ cost"))</f>
        <v>No - 5x+ cost</v>
      </c>
      <c r="R74" s="8" t="n">
        <v>0</v>
      </c>
      <c r="S74" s="8" t="s">
        <v>65</v>
      </c>
      <c r="T74" s="8" t="s">
        <v>65</v>
      </c>
      <c r="U74" s="8" t="s">
        <v>137</v>
      </c>
      <c r="V74" s="8" t="n">
        <v>11</v>
      </c>
      <c r="W74" s="8" t="str">
        <f aca="false">IF(V74="","Unknown",IF(V74&lt;=45,"Active","Stale"))</f>
        <v>Active</v>
      </c>
      <c r="X74" s="8" t="str">
        <f aca="false">IF(AND(K74&gt;=1,M74&gt;0,L74/M74&gt;=0.6,D74&lt;100000),"YES","no")</f>
        <v>no</v>
      </c>
    </row>
    <row r="75" customFormat="false" ht="15" hidden="false" customHeight="false" outlineLevel="0" collapsed="false">
      <c r="A75" s="10" t="s">
        <v>256</v>
      </c>
      <c r="B75" s="11" t="s">
        <v>172</v>
      </c>
      <c r="C75" s="10" t="s">
        <v>78</v>
      </c>
      <c r="D75" s="10" t="n">
        <v>3510</v>
      </c>
      <c r="E75" s="10" t="s">
        <v>257</v>
      </c>
      <c r="F75" s="10" t="s">
        <v>63</v>
      </c>
      <c r="G75" s="10" t="n">
        <v>42.79</v>
      </c>
      <c r="H75" s="10" t="n">
        <v>205032</v>
      </c>
      <c r="I75" s="10" t="n">
        <v>163204</v>
      </c>
      <c r="J75" s="10" t="n">
        <v>604000</v>
      </c>
      <c r="K75" s="10" t="n">
        <v>1</v>
      </c>
      <c r="L75" s="10" t="n">
        <v>3</v>
      </c>
      <c r="M75" s="10" t="n">
        <v>5</v>
      </c>
      <c r="N75" s="10" t="n">
        <v>5</v>
      </c>
      <c r="O75" s="10" t="n">
        <v>0.75</v>
      </c>
      <c r="P75" s="10" t="n">
        <v>31.5</v>
      </c>
      <c r="Q75" s="10" t="str">
        <f aca="false">IF(P75="","",IF(P75&lt;=30,"Yes","No - 5x+ cost"))</f>
        <v>No - 5x+ cost</v>
      </c>
      <c r="R75" s="10" t="n">
        <v>4010.64</v>
      </c>
      <c r="S75" s="10" t="s">
        <v>64</v>
      </c>
      <c r="T75" s="10" t="s">
        <v>65</v>
      </c>
      <c r="U75" s="10" t="s">
        <v>154</v>
      </c>
      <c r="V75" s="10" t="n">
        <v>8</v>
      </c>
      <c r="W75" s="10" t="str">
        <f aca="false">IF(V75="","Unknown",IF(V75&lt;=45,"Active","Stale"))</f>
        <v>Active</v>
      </c>
      <c r="X75" s="10" t="str">
        <f aca="false">IF(AND(K75&gt;=1,M75&gt;0,L75/M75&gt;=0.6,D75&lt;100000),"YES","no")</f>
        <v>YES</v>
      </c>
    </row>
    <row r="76" customFormat="false" ht="23.85" hidden="false" customHeight="false" outlineLevel="0" collapsed="false">
      <c r="A76" s="8" t="s">
        <v>258</v>
      </c>
      <c r="B76" s="9" t="s">
        <v>242</v>
      </c>
      <c r="C76" s="8" t="s">
        <v>209</v>
      </c>
      <c r="D76" s="8" t="n">
        <v>3430</v>
      </c>
      <c r="E76" s="8" t="s">
        <v>259</v>
      </c>
      <c r="F76" s="8" t="s">
        <v>63</v>
      </c>
      <c r="G76" s="8" t="n">
        <v>6.06</v>
      </c>
      <c r="H76" s="8" t="n">
        <v>78822</v>
      </c>
      <c r="I76" s="8" t="n">
        <v>23200</v>
      </c>
      <c r="J76" s="8" t="n">
        <v>738000</v>
      </c>
      <c r="K76" s="8" t="n">
        <v>1</v>
      </c>
      <c r="L76" s="8" t="n">
        <v>3</v>
      </c>
      <c r="M76" s="8" t="n">
        <v>5</v>
      </c>
      <c r="N76" s="8" t="n">
        <v>21</v>
      </c>
      <c r="O76" s="8" t="n">
        <v>0</v>
      </c>
      <c r="P76" s="8" t="n">
        <v>5.3</v>
      </c>
      <c r="Q76" s="8" t="str">
        <f aca="false">IF(P76="","",IF(P76&lt;=30,"Yes","No - 5x+ cost"))</f>
        <v>Yes</v>
      </c>
      <c r="R76" s="8" t="n">
        <v>0</v>
      </c>
      <c r="S76" s="8" t="s">
        <v>65</v>
      </c>
      <c r="T76" s="8" t="s">
        <v>64</v>
      </c>
      <c r="U76" s="8" t="s">
        <v>260</v>
      </c>
      <c r="V76" s="8" t="n">
        <v>72</v>
      </c>
      <c r="W76" s="8" t="str">
        <f aca="false">IF(V76="","Unknown",IF(V76&lt;=45,"Active","Stale"))</f>
        <v>Stale</v>
      </c>
      <c r="X76" s="8" t="str">
        <f aca="false">IF(AND(K76&gt;=1,M76&gt;0,L76/M76&gt;=0.6,D76&lt;100000),"YES","no")</f>
        <v>YES</v>
      </c>
    </row>
    <row r="77" customFormat="false" ht="15" hidden="false" customHeight="false" outlineLevel="0" collapsed="false">
      <c r="A77" s="10" t="s">
        <v>261</v>
      </c>
      <c r="B77" s="11" t="s">
        <v>117</v>
      </c>
      <c r="C77" s="10" t="s">
        <v>118</v>
      </c>
      <c r="D77" s="10" t="n">
        <v>3430</v>
      </c>
      <c r="E77" s="10" t="s">
        <v>262</v>
      </c>
      <c r="F77" s="10" t="s">
        <v>63</v>
      </c>
      <c r="G77" s="10" t="n">
        <v>19.3</v>
      </c>
      <c r="H77" s="10" t="n">
        <v>153393</v>
      </c>
      <c r="I77" s="10" t="n">
        <v>73888</v>
      </c>
      <c r="J77" s="10" t="n">
        <v>583000</v>
      </c>
      <c r="K77" s="10" t="n">
        <v>1</v>
      </c>
      <c r="L77" s="10" t="n">
        <v>4</v>
      </c>
      <c r="M77" s="10" t="n">
        <v>5</v>
      </c>
      <c r="N77" s="10" t="n">
        <v>9</v>
      </c>
      <c r="O77" s="10" t="n">
        <v>0</v>
      </c>
      <c r="P77" s="10" t="n">
        <v>13.3</v>
      </c>
      <c r="Q77" s="10" t="str">
        <f aca="false">IF(P77="","",IF(P77&lt;=30,"Yes","No - 5x+ cost"))</f>
        <v>Yes</v>
      </c>
      <c r="R77" s="10" t="n">
        <v>265.37</v>
      </c>
      <c r="S77" s="10" t="s">
        <v>64</v>
      </c>
      <c r="T77" s="10" t="s">
        <v>65</v>
      </c>
      <c r="U77" s="10" t="s">
        <v>162</v>
      </c>
      <c r="V77" s="10" t="n">
        <v>66</v>
      </c>
      <c r="W77" s="10" t="str">
        <f aca="false">IF(V77="","Unknown",IF(V77&lt;=45,"Active","Stale"))</f>
        <v>Stale</v>
      </c>
      <c r="X77" s="10" t="str">
        <f aca="false">IF(AND(K77&gt;=1,M77&gt;0,L77/M77&gt;=0.6,D77&lt;100000),"YES","no")</f>
        <v>YES</v>
      </c>
    </row>
    <row r="78" customFormat="false" ht="15" hidden="false" customHeight="false" outlineLevel="0" collapsed="false">
      <c r="A78" s="8" t="s">
        <v>263</v>
      </c>
      <c r="B78" s="9" t="s">
        <v>147</v>
      </c>
      <c r="C78" s="8" t="s">
        <v>69</v>
      </c>
      <c r="D78" s="8" t="n">
        <v>3400</v>
      </c>
      <c r="E78" s="8" t="s">
        <v>264</v>
      </c>
      <c r="F78" s="8" t="s">
        <v>63</v>
      </c>
      <c r="G78" s="8" t="n">
        <v>5.13</v>
      </c>
      <c r="H78" s="8" t="n">
        <v>64565</v>
      </c>
      <c r="I78" s="8" t="n">
        <v>24025</v>
      </c>
      <c r="J78" s="8" t="n">
        <v>332000</v>
      </c>
      <c r="K78" s="8" t="n">
        <v>0</v>
      </c>
      <c r="L78" s="8" t="n">
        <v>3</v>
      </c>
      <c r="M78" s="8" t="n">
        <v>5</v>
      </c>
      <c r="N78" s="8" t="n">
        <v>17</v>
      </c>
      <c r="O78" s="8" t="n">
        <v>1.5</v>
      </c>
      <c r="P78" s="8" t="n">
        <v>12.8</v>
      </c>
      <c r="Q78" s="8" t="str">
        <f aca="false">IF(P78="","",IF(P78&lt;=30,"Yes","No - 5x+ cost"))</f>
        <v>Yes</v>
      </c>
      <c r="R78" s="8" t="n">
        <v>0</v>
      </c>
      <c r="S78" s="8" t="s">
        <v>65</v>
      </c>
      <c r="T78" s="8" t="s">
        <v>64</v>
      </c>
      <c r="U78" s="8" t="s">
        <v>190</v>
      </c>
      <c r="V78" s="8" t="n">
        <v>19</v>
      </c>
      <c r="W78" s="8" t="str">
        <f aca="false">IF(V78="","Unknown",IF(V78&lt;=45,"Active","Stale"))</f>
        <v>Active</v>
      </c>
      <c r="X78" s="8" t="str">
        <f aca="false">IF(AND(K78&gt;=1,M78&gt;0,L78/M78&gt;=0.6,D78&lt;100000),"YES","no")</f>
        <v>no</v>
      </c>
    </row>
    <row r="79" customFormat="false" ht="23.85" hidden="false" customHeight="false" outlineLevel="0" collapsed="false">
      <c r="A79" s="10" t="s">
        <v>265</v>
      </c>
      <c r="B79" s="11" t="s">
        <v>266</v>
      </c>
      <c r="C79" s="10" t="s">
        <v>61</v>
      </c>
      <c r="D79" s="10" t="n">
        <v>3290</v>
      </c>
      <c r="E79" s="10" t="s">
        <v>180</v>
      </c>
      <c r="F79" s="10" t="s">
        <v>63</v>
      </c>
      <c r="G79" s="10" t="n">
        <v>5.26</v>
      </c>
      <c r="H79" s="10" t="n">
        <v>46980</v>
      </c>
      <c r="I79" s="10" t="n">
        <v>20164</v>
      </c>
      <c r="J79" s="10" t="n">
        <v>197000</v>
      </c>
      <c r="K79" s="10" t="n">
        <v>0</v>
      </c>
      <c r="L79" s="10" t="n">
        <v>2</v>
      </c>
      <c r="M79" s="10" t="n">
        <v>5</v>
      </c>
      <c r="N79" s="10" t="n">
        <v>11</v>
      </c>
      <c r="O79" s="10" t="n">
        <v>1.5</v>
      </c>
      <c r="P79" s="10" t="n">
        <v>11.9</v>
      </c>
      <c r="Q79" s="10" t="str">
        <f aca="false">IF(P79="","",IF(P79&lt;=30,"Yes","No - 5x+ cost"))</f>
        <v>Yes</v>
      </c>
      <c r="R79" s="10" t="n">
        <v>1056.92</v>
      </c>
      <c r="S79" s="10" t="s">
        <v>64</v>
      </c>
      <c r="T79" s="10" t="s">
        <v>64</v>
      </c>
      <c r="U79" s="10" t="s">
        <v>154</v>
      </c>
      <c r="V79" s="10" t="n">
        <v>8</v>
      </c>
      <c r="W79" s="10" t="str">
        <f aca="false">IF(V79="","Unknown",IF(V79&lt;=45,"Active","Stale"))</f>
        <v>Active</v>
      </c>
      <c r="X79" s="10" t="str">
        <f aca="false">IF(AND(K79&gt;=1,M79&gt;0,L79/M79&gt;=0.6,D79&lt;100000),"YES","no")</f>
        <v>no</v>
      </c>
    </row>
    <row r="80" customFormat="false" ht="15" hidden="false" customHeight="false" outlineLevel="0" collapsed="false">
      <c r="A80" s="8" t="s">
        <v>267</v>
      </c>
      <c r="B80" s="9" t="s">
        <v>179</v>
      </c>
      <c r="C80" s="8" t="s">
        <v>118</v>
      </c>
      <c r="D80" s="8" t="n">
        <v>3210</v>
      </c>
      <c r="E80" s="8" t="s">
        <v>268</v>
      </c>
      <c r="F80" s="8" t="s">
        <v>63</v>
      </c>
      <c r="G80" s="8" t="n">
        <v>7.3</v>
      </c>
      <c r="H80" s="8" t="n">
        <v>61262</v>
      </c>
      <c r="I80" s="8" t="n">
        <v>27857</v>
      </c>
      <c r="J80" s="8" t="n">
        <v>347000</v>
      </c>
      <c r="K80" s="8" t="n">
        <v>0</v>
      </c>
      <c r="L80" s="8" t="n">
        <v>3</v>
      </c>
      <c r="M80" s="8" t="n">
        <v>5</v>
      </c>
      <c r="N80" s="8" t="n">
        <v>15</v>
      </c>
      <c r="O80" s="8" t="n">
        <v>1</v>
      </c>
      <c r="P80" s="8" t="n">
        <v>25</v>
      </c>
      <c r="Q80" s="8" t="str">
        <f aca="false">IF(P80="","",IF(P80&lt;=30,"Yes","No - 5x+ cost"))</f>
        <v>Yes</v>
      </c>
      <c r="R80" s="8" t="n">
        <v>940.09</v>
      </c>
      <c r="S80" s="8" t="s">
        <v>64</v>
      </c>
      <c r="T80" s="8" t="s">
        <v>65</v>
      </c>
      <c r="U80" s="8" t="s">
        <v>80</v>
      </c>
      <c r="V80" s="8" t="n">
        <v>9</v>
      </c>
      <c r="W80" s="8" t="str">
        <f aca="false">IF(V80="","Unknown",IF(V80&lt;=45,"Active","Stale"))</f>
        <v>Active</v>
      </c>
      <c r="X80" s="8" t="str">
        <f aca="false">IF(AND(K80&gt;=1,M80&gt;0,L80/M80&gt;=0.6,D80&lt;100000),"YES","no")</f>
        <v>no</v>
      </c>
    </row>
    <row r="81" customFormat="false" ht="15" hidden="false" customHeight="false" outlineLevel="0" collapsed="false">
      <c r="A81" s="10" t="s">
        <v>269</v>
      </c>
      <c r="B81" s="11" t="s">
        <v>186</v>
      </c>
      <c r="C81" s="10" t="s">
        <v>61</v>
      </c>
      <c r="D81" s="10" t="n">
        <v>3170</v>
      </c>
      <c r="E81" s="10" t="s">
        <v>161</v>
      </c>
      <c r="F81" s="10" t="s">
        <v>63</v>
      </c>
      <c r="G81" s="10" t="n">
        <v>2.51</v>
      </c>
      <c r="H81" s="10" t="n">
        <v>100447</v>
      </c>
      <c r="I81" s="10" t="n">
        <v>9893</v>
      </c>
      <c r="J81" s="10" t="n">
        <v>361000</v>
      </c>
      <c r="K81" s="10" t="n">
        <v>0</v>
      </c>
      <c r="L81" s="10" t="n">
        <v>2</v>
      </c>
      <c r="M81" s="10" t="n">
        <v>5</v>
      </c>
      <c r="N81" s="10" t="n">
        <v>5</v>
      </c>
      <c r="O81" s="10" t="n">
        <v>0.25</v>
      </c>
      <c r="P81" s="10" t="n">
        <v>37.3</v>
      </c>
      <c r="Q81" s="10" t="str">
        <f aca="false">IF(P81="","",IF(P81&lt;=30,"Yes","No - 5x+ cost"))</f>
        <v>No - 5x+ cost</v>
      </c>
      <c r="R81" s="10" t="n">
        <v>771.49</v>
      </c>
      <c r="S81" s="10" t="s">
        <v>64</v>
      </c>
      <c r="T81" s="10" t="s">
        <v>64</v>
      </c>
      <c r="U81" s="10" t="s">
        <v>270</v>
      </c>
      <c r="V81" s="10" t="n">
        <v>12</v>
      </c>
      <c r="W81" s="10" t="str">
        <f aca="false">IF(V81="","Unknown",IF(V81&lt;=45,"Active","Stale"))</f>
        <v>Active</v>
      </c>
      <c r="X81" s="10" t="str">
        <f aca="false">IF(AND(K81&gt;=1,M81&gt;0,L81/M81&gt;=0.6,D81&lt;100000),"YES","no")</f>
        <v>no</v>
      </c>
    </row>
    <row r="82" customFormat="false" ht="23.85" hidden="false" customHeight="false" outlineLevel="0" collapsed="false">
      <c r="A82" s="8" t="s">
        <v>271</v>
      </c>
      <c r="B82" s="9" t="s">
        <v>272</v>
      </c>
      <c r="C82" s="8" t="s">
        <v>78</v>
      </c>
      <c r="D82" s="8" t="n">
        <v>3070</v>
      </c>
      <c r="E82" s="8" t="s">
        <v>221</v>
      </c>
      <c r="F82" s="8" t="s">
        <v>63</v>
      </c>
      <c r="G82" s="8" t="n">
        <v>9.63</v>
      </c>
      <c r="H82" s="8" t="n">
        <v>39009</v>
      </c>
      <c r="I82" s="8" t="n">
        <v>36712</v>
      </c>
      <c r="J82" s="8" t="n">
        <v>139000</v>
      </c>
      <c r="K82" s="8" t="n">
        <v>0</v>
      </c>
      <c r="L82" s="8" t="n">
        <v>1</v>
      </c>
      <c r="M82" s="8" t="n">
        <v>5</v>
      </c>
      <c r="N82" s="8" t="n">
        <v>13</v>
      </c>
      <c r="O82" s="8" t="n">
        <v>0</v>
      </c>
      <c r="P82" s="8" t="n">
        <v>27.7</v>
      </c>
      <c r="Q82" s="8" t="str">
        <f aca="false">IF(P82="","",IF(P82&lt;=30,"Yes","No - 5x+ cost"))</f>
        <v>Yes</v>
      </c>
      <c r="R82" s="8" t="n">
        <v>487.05</v>
      </c>
      <c r="S82" s="8" t="s">
        <v>64</v>
      </c>
      <c r="T82" s="8" t="s">
        <v>65</v>
      </c>
      <c r="U82" s="8" t="s">
        <v>273</v>
      </c>
      <c r="V82" s="8" t="n">
        <v>88</v>
      </c>
      <c r="W82" s="8" t="str">
        <f aca="false">IF(V82="","Unknown",IF(V82&lt;=45,"Active","Stale"))</f>
        <v>Stale</v>
      </c>
      <c r="X82" s="8" t="str">
        <f aca="false">IF(AND(K82&gt;=1,M82&gt;0,L82/M82&gt;=0.6,D82&lt;100000),"YES","no")</f>
        <v>no</v>
      </c>
    </row>
    <row r="83" customFormat="false" ht="15" hidden="false" customHeight="false" outlineLevel="0" collapsed="false">
      <c r="A83" s="10" t="s">
        <v>274</v>
      </c>
      <c r="B83" s="11" t="s">
        <v>212</v>
      </c>
      <c r="C83" s="10" t="s">
        <v>118</v>
      </c>
      <c r="D83" s="10" t="n">
        <v>3060</v>
      </c>
      <c r="E83" s="10" t="s">
        <v>275</v>
      </c>
      <c r="F83" s="10" t="s">
        <v>63</v>
      </c>
      <c r="G83" s="10" t="n">
        <v>3.39</v>
      </c>
      <c r="H83" s="10" t="n">
        <v>20259</v>
      </c>
      <c r="I83" s="10" t="n">
        <v>12996</v>
      </c>
      <c r="J83" s="10" t="n">
        <v>100000</v>
      </c>
      <c r="K83" s="10" t="n">
        <v>0</v>
      </c>
      <c r="L83" s="10" t="n">
        <v>1</v>
      </c>
      <c r="M83" s="10" t="n">
        <v>5</v>
      </c>
      <c r="N83" s="10" t="n">
        <v>111</v>
      </c>
      <c r="O83" s="10" t="n">
        <v>7</v>
      </c>
      <c r="P83" s="10" t="n">
        <v>19.2</v>
      </c>
      <c r="Q83" s="10" t="str">
        <f aca="false">IF(P83="","",IF(P83&lt;=30,"Yes","No - 5x+ cost"))</f>
        <v>Yes</v>
      </c>
      <c r="R83" s="10" t="n">
        <v>2492.06</v>
      </c>
      <c r="S83" s="10" t="s">
        <v>64</v>
      </c>
      <c r="T83" s="10" t="s">
        <v>65</v>
      </c>
      <c r="U83" s="10" t="s">
        <v>71</v>
      </c>
      <c r="V83" s="10" t="n">
        <v>4</v>
      </c>
      <c r="W83" s="10" t="str">
        <f aca="false">IF(V83="","Unknown",IF(V83&lt;=45,"Active","Stale"))</f>
        <v>Active</v>
      </c>
      <c r="X83" s="10" t="str">
        <f aca="false">IF(AND(K83&gt;=1,M83&gt;0,L83/M83&gt;=0.6,D83&lt;100000),"YES","no")</f>
        <v>no</v>
      </c>
    </row>
    <row r="84" customFormat="false" ht="15" hidden="false" customHeight="false" outlineLevel="0" collapsed="false">
      <c r="A84" s="8" t="s">
        <v>276</v>
      </c>
      <c r="B84" s="9" t="s">
        <v>117</v>
      </c>
      <c r="C84" s="8" t="s">
        <v>118</v>
      </c>
      <c r="D84" s="8" t="n">
        <v>2880</v>
      </c>
      <c r="E84" s="8" t="s">
        <v>123</v>
      </c>
      <c r="F84" s="8" t="s">
        <v>63</v>
      </c>
      <c r="G84" s="8" t="n">
        <v>3.2</v>
      </c>
      <c r="H84" s="8" t="n">
        <v>326909</v>
      </c>
      <c r="I84" s="8" t="n">
        <v>12234</v>
      </c>
      <c r="J84" s="8" t="n">
        <v>2400000</v>
      </c>
      <c r="K84" s="8" t="n">
        <v>2</v>
      </c>
      <c r="L84" s="8" t="n">
        <v>5</v>
      </c>
      <c r="M84" s="8" t="n">
        <v>5</v>
      </c>
      <c r="N84" s="8" t="n">
        <v>14</v>
      </c>
      <c r="O84" s="8" t="n">
        <v>0</v>
      </c>
      <c r="P84" s="8" t="n">
        <v>6.4</v>
      </c>
      <c r="Q84" s="8" t="str">
        <f aca="false">IF(P84="","",IF(P84&lt;=30,"Yes","No - 5x+ cost"))</f>
        <v>Yes</v>
      </c>
      <c r="R84" s="8" t="n">
        <v>3445.33</v>
      </c>
      <c r="S84" s="8" t="s">
        <v>64</v>
      </c>
      <c r="T84" s="8" t="s">
        <v>65</v>
      </c>
      <c r="U84" s="8" t="s">
        <v>277</v>
      </c>
      <c r="V84" s="8" t="n">
        <v>67</v>
      </c>
      <c r="W84" s="8" t="str">
        <f aca="false">IF(V84="","Unknown",IF(V84&lt;=45,"Active","Stale"))</f>
        <v>Stale</v>
      </c>
      <c r="X84" s="8" t="str">
        <f aca="false">IF(AND(K84&gt;=1,M84&gt;0,L84/M84&gt;=0.6,D84&lt;100000),"YES","no")</f>
        <v>YES</v>
      </c>
    </row>
    <row r="85" customFormat="false" ht="15" hidden="false" customHeight="false" outlineLevel="0" collapsed="false">
      <c r="A85" s="10" t="s">
        <v>278</v>
      </c>
      <c r="B85" s="11" t="s">
        <v>82</v>
      </c>
      <c r="C85" s="10" t="s">
        <v>61</v>
      </c>
      <c r="D85" s="10" t="n">
        <v>2850</v>
      </c>
      <c r="E85" s="10" t="s">
        <v>260</v>
      </c>
      <c r="F85" s="10" t="s">
        <v>63</v>
      </c>
      <c r="G85" s="10" t="n">
        <v>3.78</v>
      </c>
      <c r="H85" s="10" t="n">
        <v>14249</v>
      </c>
      <c r="I85" s="10" t="n">
        <v>14489</v>
      </c>
      <c r="J85" s="10" t="n">
        <v>43000</v>
      </c>
      <c r="K85" s="10" t="n">
        <v>0</v>
      </c>
      <c r="L85" s="10" t="n">
        <v>0</v>
      </c>
      <c r="M85" s="10" t="n">
        <v>5</v>
      </c>
      <c r="N85" s="10" t="n">
        <v>12</v>
      </c>
      <c r="O85" s="10" t="n">
        <v>0.75</v>
      </c>
      <c r="P85" s="10" t="n">
        <v>12.3</v>
      </c>
      <c r="Q85" s="10" t="str">
        <f aca="false">IF(P85="","",IF(P85&lt;=30,"Yes","No - 5x+ cost"))</f>
        <v>Yes</v>
      </c>
      <c r="R85" s="10" t="n">
        <v>0</v>
      </c>
      <c r="S85" s="10" t="s">
        <v>65</v>
      </c>
      <c r="T85" s="10" t="s">
        <v>64</v>
      </c>
      <c r="U85" s="10" t="s">
        <v>170</v>
      </c>
      <c r="V85" s="10" t="n">
        <v>17</v>
      </c>
      <c r="W85" s="10" t="str">
        <f aca="false">IF(V85="","Unknown",IF(V85&lt;=45,"Active","Stale"))</f>
        <v>Active</v>
      </c>
      <c r="X85" s="10" t="str">
        <f aca="false">IF(AND(K85&gt;=1,M85&gt;0,L85/M85&gt;=0.6,D85&lt;100000),"YES","no")</f>
        <v>no</v>
      </c>
    </row>
    <row r="86" customFormat="false" ht="23.85" hidden="false" customHeight="false" outlineLevel="0" collapsed="false">
      <c r="A86" s="8" t="s">
        <v>279</v>
      </c>
      <c r="B86" s="9" t="s">
        <v>86</v>
      </c>
      <c r="C86" s="8" t="s">
        <v>61</v>
      </c>
      <c r="D86" s="8" t="n">
        <v>2680</v>
      </c>
      <c r="E86" s="8" t="s">
        <v>145</v>
      </c>
      <c r="F86" s="8" t="s">
        <v>63</v>
      </c>
      <c r="G86" s="8" t="n">
        <v>2.33</v>
      </c>
      <c r="H86" s="8" t="n">
        <v>15797</v>
      </c>
      <c r="I86" s="8" t="n">
        <v>8864</v>
      </c>
      <c r="J86" s="8" t="n">
        <v>61000</v>
      </c>
      <c r="K86" s="8" t="n">
        <v>0</v>
      </c>
      <c r="L86" s="8" t="n">
        <v>0</v>
      </c>
      <c r="M86" s="8" t="n">
        <v>5</v>
      </c>
      <c r="N86" s="8" t="n">
        <v>19</v>
      </c>
      <c r="O86" s="8" t="n">
        <v>0.25</v>
      </c>
      <c r="P86" s="8" t="n">
        <v>26.4</v>
      </c>
      <c r="Q86" s="8" t="str">
        <f aca="false">IF(P86="","",IF(P86&lt;=30,"Yes","No - 5x+ cost"))</f>
        <v>Yes</v>
      </c>
      <c r="R86" s="8" t="n">
        <v>0</v>
      </c>
      <c r="S86" s="8" t="s">
        <v>65</v>
      </c>
      <c r="T86" s="8" t="s">
        <v>64</v>
      </c>
      <c r="U86" s="8" t="s">
        <v>190</v>
      </c>
      <c r="V86" s="8" t="n">
        <v>19</v>
      </c>
      <c r="W86" s="8" t="str">
        <f aca="false">IF(V86="","Unknown",IF(V86&lt;=45,"Active","Stale"))</f>
        <v>Active</v>
      </c>
      <c r="X86" s="8" t="str">
        <f aca="false">IF(AND(K86&gt;=1,M86&gt;0,L86/M86&gt;=0.6,D86&lt;100000),"YES","no")</f>
        <v>no</v>
      </c>
    </row>
    <row r="87" customFormat="false" ht="23.85" hidden="false" customHeight="false" outlineLevel="0" collapsed="false">
      <c r="A87" s="10" t="s">
        <v>280</v>
      </c>
      <c r="B87" s="11" t="s">
        <v>281</v>
      </c>
      <c r="C87" s="10" t="s">
        <v>69</v>
      </c>
      <c r="D87" s="10" t="n">
        <v>2670</v>
      </c>
      <c r="E87" s="10" t="s">
        <v>282</v>
      </c>
      <c r="F87" s="10" t="s">
        <v>63</v>
      </c>
      <c r="G87" s="10" t="n">
        <v>5.5</v>
      </c>
      <c r="H87" s="10" t="n">
        <v>30557</v>
      </c>
      <c r="I87" s="10" t="n">
        <v>21040</v>
      </c>
      <c r="J87" s="10" t="n">
        <v>95000</v>
      </c>
      <c r="K87" s="10" t="n">
        <v>0</v>
      </c>
      <c r="L87" s="10" t="n">
        <v>0</v>
      </c>
      <c r="M87" s="10" t="n">
        <v>5</v>
      </c>
      <c r="N87" s="10" t="n">
        <v>10</v>
      </c>
      <c r="O87" s="10" t="n">
        <v>2</v>
      </c>
      <c r="P87" s="10" t="n">
        <v>22</v>
      </c>
      <c r="Q87" s="10" t="str">
        <f aca="false">IF(P87="","",IF(P87&lt;=30,"Yes","No - 5x+ cost"))</f>
        <v>Yes</v>
      </c>
      <c r="R87" s="10" t="n">
        <v>1477.86</v>
      </c>
      <c r="S87" s="10" t="s">
        <v>64</v>
      </c>
      <c r="T87" s="10" t="s">
        <v>65</v>
      </c>
      <c r="U87" s="10" t="s">
        <v>283</v>
      </c>
      <c r="V87" s="10" t="n">
        <v>1</v>
      </c>
      <c r="W87" s="10" t="str">
        <f aca="false">IF(V87="","Unknown",IF(V87&lt;=45,"Active","Stale"))</f>
        <v>Active</v>
      </c>
      <c r="X87" s="10" t="str">
        <f aca="false">IF(AND(K87&gt;=1,M87&gt;0,L87/M87&gt;=0.6,D87&lt;100000),"YES","no")</f>
        <v>no</v>
      </c>
    </row>
    <row r="88" customFormat="false" ht="15" hidden="false" customHeight="false" outlineLevel="0" collapsed="false">
      <c r="A88" s="8" t="s">
        <v>284</v>
      </c>
      <c r="B88" s="9" t="s">
        <v>186</v>
      </c>
      <c r="C88" s="8" t="s">
        <v>61</v>
      </c>
      <c r="D88" s="8" t="n">
        <v>2610</v>
      </c>
      <c r="E88" s="8" t="s">
        <v>285</v>
      </c>
      <c r="F88" s="8" t="s">
        <v>63</v>
      </c>
      <c r="G88" s="8" t="n">
        <v>2.06</v>
      </c>
      <c r="H88" s="8" t="n">
        <v>15467</v>
      </c>
      <c r="I88" s="8" t="n">
        <v>7854</v>
      </c>
      <c r="J88" s="8" t="n">
        <v>59000</v>
      </c>
      <c r="K88" s="8" t="n">
        <v>0</v>
      </c>
      <c r="L88" s="8" t="n">
        <v>0</v>
      </c>
      <c r="M88" s="8" t="n">
        <v>5</v>
      </c>
      <c r="N88" s="8" t="n">
        <v>15</v>
      </c>
      <c r="O88" s="8" t="n">
        <v>3.5</v>
      </c>
      <c r="P88" s="8" t="n">
        <v>25.2</v>
      </c>
      <c r="Q88" s="8" t="str">
        <f aca="false">IF(P88="","",IF(P88&lt;=30,"Yes","No - 5x+ cost"))</f>
        <v>Yes</v>
      </c>
      <c r="R88" s="8" t="n">
        <v>1086.66</v>
      </c>
      <c r="S88" s="8" t="s">
        <v>64</v>
      </c>
      <c r="T88" s="8" t="s">
        <v>64</v>
      </c>
      <c r="U88" s="8" t="s">
        <v>71</v>
      </c>
      <c r="V88" s="8" t="n">
        <v>4</v>
      </c>
      <c r="W88" s="8" t="str">
        <f aca="false">IF(V88="","Unknown",IF(V88&lt;=45,"Active","Stale"))</f>
        <v>Active</v>
      </c>
      <c r="X88" s="8" t="str">
        <f aca="false">IF(AND(K88&gt;=1,M88&gt;0,L88/M88&gt;=0.6,D88&lt;100000),"YES","no")</f>
        <v>no</v>
      </c>
    </row>
    <row r="89" customFormat="false" ht="15" hidden="false" customHeight="false" outlineLevel="0" collapsed="false">
      <c r="A89" s="10" t="s">
        <v>286</v>
      </c>
      <c r="B89" s="11" t="s">
        <v>179</v>
      </c>
      <c r="C89" s="10" t="s">
        <v>118</v>
      </c>
      <c r="D89" s="10" t="n">
        <v>2530</v>
      </c>
      <c r="E89" s="10" t="s">
        <v>183</v>
      </c>
      <c r="F89" s="10" t="s">
        <v>63</v>
      </c>
      <c r="G89" s="10" t="n">
        <v>2.98</v>
      </c>
      <c r="H89" s="10" t="n">
        <v>276634</v>
      </c>
      <c r="I89" s="10" t="n">
        <v>11349</v>
      </c>
      <c r="J89" s="10" t="n">
        <v>1300000</v>
      </c>
      <c r="K89" s="10" t="n">
        <v>2</v>
      </c>
      <c r="L89" s="10" t="n">
        <v>2</v>
      </c>
      <c r="M89" s="10" t="n">
        <v>5</v>
      </c>
      <c r="N89" s="10" t="n">
        <v>7</v>
      </c>
      <c r="O89" s="10" t="n">
        <v>0</v>
      </c>
      <c r="P89" s="10" t="n">
        <v>9.9</v>
      </c>
      <c r="Q89" s="10" t="str">
        <f aca="false">IF(P89="","",IF(P89&lt;=30,"Yes","No - 5x+ cost"))</f>
        <v>Yes</v>
      </c>
      <c r="R89" s="10" t="n">
        <v>0</v>
      </c>
      <c r="S89" s="10" t="s">
        <v>65</v>
      </c>
      <c r="T89" s="10" t="s">
        <v>64</v>
      </c>
      <c r="U89" s="10" t="s">
        <v>287</v>
      </c>
      <c r="V89" s="10" t="n">
        <v>98</v>
      </c>
      <c r="W89" s="10" t="str">
        <f aca="false">IF(V89="","Unknown",IF(V89&lt;=45,"Active","Stale"))</f>
        <v>Stale</v>
      </c>
      <c r="X89" s="10" t="str">
        <f aca="false">IF(AND(K89&gt;=1,M89&gt;0,L89/M89&gt;=0.6,D89&lt;100000),"YES","no")</f>
        <v>no</v>
      </c>
    </row>
    <row r="90" customFormat="false" ht="23.85" hidden="false" customHeight="false" outlineLevel="0" collapsed="false">
      <c r="A90" s="8" t="s">
        <v>288</v>
      </c>
      <c r="B90" s="9" t="s">
        <v>175</v>
      </c>
      <c r="C90" s="8" t="s">
        <v>61</v>
      </c>
      <c r="D90" s="8" t="n">
        <v>2500</v>
      </c>
      <c r="E90" s="8" t="s">
        <v>289</v>
      </c>
      <c r="F90" s="8" t="s">
        <v>63</v>
      </c>
      <c r="G90" s="8" t="n">
        <v>44.98</v>
      </c>
      <c r="H90" s="8" t="n">
        <v>171454</v>
      </c>
      <c r="I90" s="8" t="n">
        <v>171454</v>
      </c>
      <c r="J90" s="8" t="n">
        <v>191000</v>
      </c>
      <c r="K90" s="8" t="n">
        <v>0</v>
      </c>
      <c r="L90" s="8" t="n">
        <v>2</v>
      </c>
      <c r="M90" s="8" t="n">
        <v>2</v>
      </c>
      <c r="N90" s="8" t="n">
        <v>2</v>
      </c>
      <c r="O90" s="8" t="n">
        <v>0</v>
      </c>
      <c r="P90" s="8" t="n">
        <v>44.2</v>
      </c>
      <c r="Q90" s="8" t="str">
        <f aca="false">IF(P90="","",IF(P90&lt;=30,"Yes","No - 5x+ cost"))</f>
        <v>No - 5x+ cost</v>
      </c>
      <c r="R90" s="8" t="n">
        <v>59.66</v>
      </c>
      <c r="S90" s="8" t="s">
        <v>64</v>
      </c>
      <c r="T90" s="8" t="s">
        <v>65</v>
      </c>
      <c r="U90" s="8" t="s">
        <v>109</v>
      </c>
      <c r="V90" s="8" t="n">
        <v>59</v>
      </c>
      <c r="W90" s="8" t="str">
        <f aca="false">IF(V90="","Unknown",IF(V90&lt;=45,"Active","Stale"))</f>
        <v>Stale</v>
      </c>
      <c r="X90" s="8" t="str">
        <f aca="false">IF(AND(K90&gt;=1,M90&gt;0,L90/M90&gt;=0.6,D90&lt;100000),"YES","no")</f>
        <v>no</v>
      </c>
    </row>
    <row r="91" customFormat="false" ht="15" hidden="false" customHeight="false" outlineLevel="0" collapsed="false">
      <c r="A91" s="10" t="s">
        <v>290</v>
      </c>
      <c r="B91" s="11" t="s">
        <v>77</v>
      </c>
      <c r="C91" s="10" t="s">
        <v>78</v>
      </c>
      <c r="D91" s="10" t="n">
        <v>2440</v>
      </c>
      <c r="E91" s="10" t="s">
        <v>148</v>
      </c>
      <c r="F91" s="10" t="s">
        <v>63</v>
      </c>
      <c r="G91" s="10" t="n">
        <v>2.13</v>
      </c>
      <c r="H91" s="10" t="n">
        <v>30665</v>
      </c>
      <c r="I91" s="10" t="n">
        <v>8130</v>
      </c>
      <c r="J91" s="10" t="n">
        <v>360000</v>
      </c>
      <c r="K91" s="10" t="n">
        <v>0</v>
      </c>
      <c r="L91" s="10" t="n">
        <v>1</v>
      </c>
      <c r="M91" s="10" t="n">
        <v>5</v>
      </c>
      <c r="N91" s="10" t="n">
        <v>22</v>
      </c>
      <c r="O91" s="10" t="n">
        <v>0</v>
      </c>
      <c r="P91" s="10" t="n">
        <v>97.7</v>
      </c>
      <c r="Q91" s="10" t="str">
        <f aca="false">IF(P91="","",IF(P91&lt;=30,"Yes","No - 5x+ cost"))</f>
        <v>No - 5x+ cost</v>
      </c>
      <c r="R91" s="10" t="n">
        <v>78.26</v>
      </c>
      <c r="S91" s="10" t="s">
        <v>64</v>
      </c>
      <c r="T91" s="10" t="s">
        <v>65</v>
      </c>
      <c r="U91" s="10" t="s">
        <v>291</v>
      </c>
      <c r="V91" s="10" t="n">
        <v>69</v>
      </c>
      <c r="W91" s="10" t="str">
        <f aca="false">IF(V91="","Unknown",IF(V91&lt;=45,"Active","Stale"))</f>
        <v>Stale</v>
      </c>
      <c r="X91" s="10" t="str">
        <f aca="false">IF(AND(K91&gt;=1,M91&gt;0,L91/M91&gt;=0.6,D91&lt;100000),"YES","no")</f>
        <v>no</v>
      </c>
    </row>
    <row r="92" customFormat="false" ht="15" hidden="false" customHeight="false" outlineLevel="0" collapsed="false">
      <c r="A92" s="8" t="s">
        <v>292</v>
      </c>
      <c r="B92" s="9" t="s">
        <v>212</v>
      </c>
      <c r="C92" s="8" t="s">
        <v>118</v>
      </c>
      <c r="D92" s="8" t="n">
        <v>2400</v>
      </c>
      <c r="E92" s="8" t="s">
        <v>293</v>
      </c>
      <c r="F92" s="8" t="s">
        <v>63</v>
      </c>
      <c r="G92" s="8" t="n">
        <v>2.34</v>
      </c>
      <c r="H92" s="8" t="n">
        <v>18404</v>
      </c>
      <c r="I92" s="8" t="n">
        <v>8936</v>
      </c>
      <c r="J92" s="8" t="n">
        <v>74000</v>
      </c>
      <c r="K92" s="8" t="n">
        <v>0</v>
      </c>
      <c r="L92" s="8" t="n">
        <v>0</v>
      </c>
      <c r="M92" s="8" t="n">
        <v>5</v>
      </c>
      <c r="N92" s="8" t="n">
        <v>14</v>
      </c>
      <c r="O92" s="8" t="n">
        <v>3.5</v>
      </c>
      <c r="P92" s="8" t="n">
        <v>28.6</v>
      </c>
      <c r="Q92" s="8" t="str">
        <f aca="false">IF(P92="","",IF(P92&lt;=30,"Yes","No - 5x+ cost"))</f>
        <v>Yes</v>
      </c>
      <c r="R92" s="8" t="n">
        <v>0</v>
      </c>
      <c r="S92" s="8" t="s">
        <v>65</v>
      </c>
      <c r="T92" s="8" t="s">
        <v>65</v>
      </c>
      <c r="U92" s="8" t="s">
        <v>71</v>
      </c>
      <c r="V92" s="8" t="n">
        <v>4</v>
      </c>
      <c r="W92" s="8" t="str">
        <f aca="false">IF(V92="","Unknown",IF(V92&lt;=45,"Active","Stale"))</f>
        <v>Active</v>
      </c>
      <c r="X92" s="8" t="str">
        <f aca="false">IF(AND(K92&gt;=1,M92&gt;0,L92/M92&gt;=0.6,D92&lt;100000),"YES","no")</f>
        <v>no</v>
      </c>
    </row>
    <row r="93" customFormat="false" ht="23.85" hidden="false" customHeight="false" outlineLevel="0" collapsed="false">
      <c r="A93" s="10" t="s">
        <v>294</v>
      </c>
      <c r="B93" s="11" t="s">
        <v>295</v>
      </c>
      <c r="C93" s="10" t="s">
        <v>61</v>
      </c>
      <c r="D93" s="10" t="n">
        <v>2360</v>
      </c>
      <c r="E93" s="10" t="s">
        <v>296</v>
      </c>
      <c r="F93" s="10" t="s">
        <v>63</v>
      </c>
      <c r="G93" s="10" t="n">
        <v>5.32</v>
      </c>
      <c r="H93" s="10" t="n">
        <v>28792</v>
      </c>
      <c r="I93" s="10" t="n">
        <v>8012</v>
      </c>
      <c r="J93" s="10" t="n">
        <v>109000</v>
      </c>
      <c r="K93" s="10" t="n">
        <v>0</v>
      </c>
      <c r="L93" s="10" t="n">
        <v>1</v>
      </c>
      <c r="M93" s="10" t="n">
        <v>5</v>
      </c>
      <c r="N93" s="10" t="n">
        <v>12</v>
      </c>
      <c r="O93" s="10" t="n">
        <v>1.25</v>
      </c>
      <c r="P93" s="10" t="n">
        <v>34.8</v>
      </c>
      <c r="Q93" s="10" t="str">
        <f aca="false">IF(P93="","",IF(P93&lt;=30,"Yes","No - 5x+ cost"))</f>
        <v>No - 5x+ cost</v>
      </c>
      <c r="R93" s="10" t="n">
        <v>0</v>
      </c>
      <c r="S93" s="10" t="s">
        <v>65</v>
      </c>
      <c r="T93" s="10" t="s">
        <v>64</v>
      </c>
      <c r="U93" s="10" t="s">
        <v>154</v>
      </c>
      <c r="V93" s="10" t="n">
        <v>8</v>
      </c>
      <c r="W93" s="10" t="str">
        <f aca="false">IF(V93="","Unknown",IF(V93&lt;=45,"Active","Stale"))</f>
        <v>Active</v>
      </c>
      <c r="X93" s="10" t="str">
        <f aca="false">IF(AND(K93&gt;=1,M93&gt;0,L93/M93&gt;=0.6,D93&lt;100000),"YES","no")</f>
        <v>no</v>
      </c>
    </row>
    <row r="94" customFormat="false" ht="15" hidden="false" customHeight="false" outlineLevel="0" collapsed="false">
      <c r="A94" s="8" t="s">
        <v>297</v>
      </c>
      <c r="B94" s="9" t="s">
        <v>212</v>
      </c>
      <c r="C94" s="8" t="s">
        <v>118</v>
      </c>
      <c r="D94" s="8" t="n">
        <v>2270</v>
      </c>
      <c r="E94" s="8" t="s">
        <v>298</v>
      </c>
      <c r="F94" s="8" t="s">
        <v>63</v>
      </c>
      <c r="G94" s="8" t="n">
        <v>3.31</v>
      </c>
      <c r="H94" s="8" t="n">
        <v>23332</v>
      </c>
      <c r="I94" s="8" t="n">
        <v>12630</v>
      </c>
      <c r="J94" s="8" t="n">
        <v>66000</v>
      </c>
      <c r="K94" s="8" t="n">
        <v>0</v>
      </c>
      <c r="L94" s="8" t="n">
        <v>0</v>
      </c>
      <c r="M94" s="8" t="n">
        <v>5</v>
      </c>
      <c r="N94" s="8" t="n">
        <v>12</v>
      </c>
      <c r="O94" s="8" t="n">
        <v>0.5</v>
      </c>
      <c r="P94" s="8" t="n">
        <v>14.1</v>
      </c>
      <c r="Q94" s="8" t="str">
        <f aca="false">IF(P94="","",IF(P94&lt;=30,"Yes","No - 5x+ cost"))</f>
        <v>Yes</v>
      </c>
      <c r="R94" s="8" t="n">
        <v>74.34</v>
      </c>
      <c r="S94" s="8" t="s">
        <v>64</v>
      </c>
      <c r="T94" s="8" t="s">
        <v>65</v>
      </c>
      <c r="U94" s="8" t="s">
        <v>137</v>
      </c>
      <c r="V94" s="8" t="n">
        <v>11</v>
      </c>
      <c r="W94" s="8" t="str">
        <f aca="false">IF(V94="","Unknown",IF(V94&lt;=45,"Active","Stale"))</f>
        <v>Active</v>
      </c>
      <c r="X94" s="8" t="str">
        <f aca="false">IF(AND(K94&gt;=1,M94&gt;0,L94/M94&gt;=0.6,D94&lt;100000),"YES","no")</f>
        <v>no</v>
      </c>
    </row>
    <row r="95" customFormat="false" ht="23.85" hidden="false" customHeight="false" outlineLevel="0" collapsed="false">
      <c r="A95" s="10" t="s">
        <v>299</v>
      </c>
      <c r="B95" s="11" t="s">
        <v>300</v>
      </c>
      <c r="C95" s="10" t="s">
        <v>69</v>
      </c>
      <c r="D95" s="10" t="n">
        <v>2210</v>
      </c>
      <c r="E95" s="10" t="s">
        <v>139</v>
      </c>
      <c r="F95" s="10" t="s">
        <v>63</v>
      </c>
      <c r="G95" s="10" t="n">
        <v>2.24</v>
      </c>
      <c r="H95" s="10" t="n">
        <v>25492</v>
      </c>
      <c r="I95" s="10" t="n">
        <v>8554</v>
      </c>
      <c r="J95" s="10" t="n">
        <v>116000</v>
      </c>
      <c r="K95" s="10" t="n">
        <v>0</v>
      </c>
      <c r="L95" s="10" t="n">
        <v>1</v>
      </c>
      <c r="M95" s="10" t="n">
        <v>5</v>
      </c>
      <c r="N95" s="10" t="n">
        <v>15</v>
      </c>
      <c r="O95" s="10" t="n">
        <v>0.5</v>
      </c>
      <c r="P95" s="10" t="n">
        <v>44.9</v>
      </c>
      <c r="Q95" s="10" t="str">
        <f aca="false">IF(P95="","",IF(P95&lt;=30,"Yes","No - 5x+ cost"))</f>
        <v>No - 5x+ cost</v>
      </c>
      <c r="R95" s="10" t="n">
        <v>224.49</v>
      </c>
      <c r="S95" s="10" t="s">
        <v>64</v>
      </c>
      <c r="T95" s="10" t="s">
        <v>64</v>
      </c>
      <c r="U95" s="10" t="s">
        <v>301</v>
      </c>
      <c r="V95" s="10" t="n">
        <v>18</v>
      </c>
      <c r="W95" s="10" t="str">
        <f aca="false">IF(V95="","Unknown",IF(V95&lt;=45,"Active","Stale"))</f>
        <v>Active</v>
      </c>
      <c r="X95" s="10" t="str">
        <f aca="false">IF(AND(K95&gt;=1,M95&gt;0,L95/M95&gt;=0.6,D95&lt;100000),"YES","no")</f>
        <v>no</v>
      </c>
    </row>
    <row r="96" customFormat="false" ht="23.85" hidden="false" customHeight="false" outlineLevel="0" collapsed="false">
      <c r="A96" s="8" t="s">
        <v>302</v>
      </c>
      <c r="B96" s="9" t="s">
        <v>303</v>
      </c>
      <c r="C96" s="8" t="s">
        <v>209</v>
      </c>
      <c r="D96" s="8" t="n">
        <v>2180</v>
      </c>
      <c r="E96" s="8" t="s">
        <v>109</v>
      </c>
      <c r="F96" s="8" t="s">
        <v>63</v>
      </c>
      <c r="G96" s="8" t="n">
        <v>2.71</v>
      </c>
      <c r="H96" s="8" t="n">
        <v>50516</v>
      </c>
      <c r="I96" s="8" t="n">
        <v>10346</v>
      </c>
      <c r="J96" s="8" t="n">
        <v>287000</v>
      </c>
      <c r="K96" s="8" t="n">
        <v>0</v>
      </c>
      <c r="L96" s="8" t="n">
        <v>1</v>
      </c>
      <c r="M96" s="8" t="n">
        <v>5</v>
      </c>
      <c r="N96" s="8" t="n">
        <v>9</v>
      </c>
      <c r="O96" s="8" t="n">
        <v>2.25</v>
      </c>
      <c r="P96" s="8" t="n">
        <v>24.3</v>
      </c>
      <c r="Q96" s="8" t="str">
        <f aca="false">IF(P96="","",IF(P96&lt;=30,"Yes","No - 5x+ cost"))</f>
        <v>Yes</v>
      </c>
      <c r="R96" s="8" t="n">
        <v>2129.5</v>
      </c>
      <c r="S96" s="8" t="s">
        <v>64</v>
      </c>
      <c r="T96" s="8" t="s">
        <v>65</v>
      </c>
      <c r="U96" s="8" t="s">
        <v>71</v>
      </c>
      <c r="V96" s="8" t="n">
        <v>4</v>
      </c>
      <c r="W96" s="8" t="str">
        <f aca="false">IF(V96="","Unknown",IF(V96&lt;=45,"Active","Stale"))</f>
        <v>Active</v>
      </c>
      <c r="X96" s="8" t="str">
        <f aca="false">IF(AND(K96&gt;=1,M96&gt;0,L96/M96&gt;=0.6,D96&lt;100000),"YES","no")</f>
        <v>no</v>
      </c>
    </row>
    <row r="97" customFormat="false" ht="15" hidden="false" customHeight="false" outlineLevel="0" collapsed="false">
      <c r="A97" s="10" t="s">
        <v>304</v>
      </c>
      <c r="B97" s="11" t="s">
        <v>212</v>
      </c>
      <c r="C97" s="10" t="s">
        <v>118</v>
      </c>
      <c r="D97" s="10" t="n">
        <v>2140</v>
      </c>
      <c r="E97" s="10" t="s">
        <v>273</v>
      </c>
      <c r="F97" s="10" t="s">
        <v>63</v>
      </c>
      <c r="G97" s="10" t="n">
        <v>5.68</v>
      </c>
      <c r="H97" s="10" t="n">
        <v>56561</v>
      </c>
      <c r="I97" s="10" t="n">
        <v>21657</v>
      </c>
      <c r="J97" s="10" t="n">
        <v>276000</v>
      </c>
      <c r="K97" s="10" t="n">
        <v>0</v>
      </c>
      <c r="L97" s="10" t="n">
        <v>2</v>
      </c>
      <c r="M97" s="10" t="n">
        <v>5</v>
      </c>
      <c r="N97" s="10" t="n">
        <v>10</v>
      </c>
      <c r="O97" s="10" t="n">
        <v>2</v>
      </c>
      <c r="P97" s="10" t="n">
        <v>23.1</v>
      </c>
      <c r="Q97" s="10" t="str">
        <f aca="false">IF(P97="","",IF(P97&lt;=30,"Yes","No - 5x+ cost"))</f>
        <v>Yes</v>
      </c>
      <c r="R97" s="10" t="n">
        <v>2194.16</v>
      </c>
      <c r="S97" s="10" t="s">
        <v>64</v>
      </c>
      <c r="T97" s="10" t="s">
        <v>64</v>
      </c>
      <c r="U97" s="10" t="s">
        <v>173</v>
      </c>
      <c r="V97" s="10" t="n">
        <v>5</v>
      </c>
      <c r="W97" s="10" t="str">
        <f aca="false">IF(V97="","Unknown",IF(V97&lt;=45,"Active","Stale"))</f>
        <v>Active</v>
      </c>
      <c r="X97" s="10" t="str">
        <f aca="false">IF(AND(K97&gt;=1,M97&gt;0,L97/M97&gt;=0.6,D97&lt;100000),"YES","no")</f>
        <v>no</v>
      </c>
    </row>
    <row r="98" customFormat="false" ht="15" hidden="false" customHeight="false" outlineLevel="0" collapsed="false">
      <c r="A98" s="8" t="s">
        <v>305</v>
      </c>
      <c r="B98" s="9" t="s">
        <v>77</v>
      </c>
      <c r="C98" s="8" t="s">
        <v>78</v>
      </c>
      <c r="D98" s="8" t="n">
        <v>1970</v>
      </c>
      <c r="E98" s="8" t="s">
        <v>306</v>
      </c>
      <c r="F98" s="8" t="s">
        <v>63</v>
      </c>
      <c r="G98" s="8" t="n">
        <v>6.46</v>
      </c>
      <c r="H98" s="8" t="n">
        <v>48798</v>
      </c>
      <c r="I98" s="8" t="n">
        <v>24606</v>
      </c>
      <c r="J98" s="8" t="n">
        <v>72000</v>
      </c>
      <c r="K98" s="8" t="n">
        <v>0</v>
      </c>
      <c r="L98" s="8" t="n">
        <v>0</v>
      </c>
      <c r="M98" s="8" t="n">
        <v>5</v>
      </c>
      <c r="N98" s="8" t="n">
        <v>90</v>
      </c>
      <c r="O98" s="8" t="n">
        <v>3.75</v>
      </c>
      <c r="P98" s="8" t="n">
        <v>1.4</v>
      </c>
      <c r="Q98" s="8" t="str">
        <f aca="false">IF(P98="","",IF(P98&lt;=30,"Yes","No - 5x+ cost"))</f>
        <v>Yes</v>
      </c>
      <c r="R98" s="8" t="n">
        <v>79.41</v>
      </c>
      <c r="S98" s="8" t="s">
        <v>64</v>
      </c>
      <c r="T98" s="8" t="s">
        <v>64</v>
      </c>
      <c r="U98" s="8" t="s">
        <v>71</v>
      </c>
      <c r="V98" s="8" t="n">
        <v>4</v>
      </c>
      <c r="W98" s="8" t="str">
        <f aca="false">IF(V98="","Unknown",IF(V98&lt;=45,"Active","Stale"))</f>
        <v>Active</v>
      </c>
      <c r="X98" s="8" t="str">
        <f aca="false">IF(AND(K98&gt;=1,M98&gt;0,L98/M98&gt;=0.6,D98&lt;100000),"YES","no")</f>
        <v>no</v>
      </c>
    </row>
    <row r="99" customFormat="false" ht="15" hidden="false" customHeight="false" outlineLevel="0" collapsed="false">
      <c r="A99" s="10" t="s">
        <v>307</v>
      </c>
      <c r="B99" s="11" t="s">
        <v>82</v>
      </c>
      <c r="C99" s="10" t="s">
        <v>61</v>
      </c>
      <c r="D99" s="10" t="n">
        <v>1870</v>
      </c>
      <c r="E99" s="10" t="s">
        <v>84</v>
      </c>
      <c r="F99" s="10" t="s">
        <v>63</v>
      </c>
      <c r="G99" s="10" t="n">
        <v>3.27</v>
      </c>
      <c r="H99" s="10" t="n">
        <v>54932</v>
      </c>
      <c r="I99" s="10" t="n">
        <v>12582</v>
      </c>
      <c r="J99" s="10" t="n">
        <v>417000</v>
      </c>
      <c r="K99" s="10" t="n">
        <v>0</v>
      </c>
      <c r="L99" s="10" t="n">
        <v>1</v>
      </c>
      <c r="M99" s="10" t="n">
        <v>5</v>
      </c>
      <c r="N99" s="10" t="n">
        <v>12</v>
      </c>
      <c r="O99" s="10" t="n">
        <v>1</v>
      </c>
      <c r="P99" s="10" t="n">
        <v>4.6</v>
      </c>
      <c r="Q99" s="10" t="str">
        <f aca="false">IF(P99="","",IF(P99&lt;=30,"Yes","No - 5x+ cost"))</f>
        <v>Yes</v>
      </c>
      <c r="R99" s="10" t="n">
        <v>862.26</v>
      </c>
      <c r="S99" s="10" t="s">
        <v>64</v>
      </c>
      <c r="T99" s="10" t="s">
        <v>65</v>
      </c>
      <c r="U99" s="10" t="s">
        <v>154</v>
      </c>
      <c r="V99" s="10" t="n">
        <v>8</v>
      </c>
      <c r="W99" s="10" t="str">
        <f aca="false">IF(V99="","Unknown",IF(V99&lt;=45,"Active","Stale"))</f>
        <v>Active</v>
      </c>
      <c r="X99" s="10" t="str">
        <f aca="false">IF(AND(K99&gt;=1,M99&gt;0,L99/M99&gt;=0.6,D99&lt;100000),"YES","no")</f>
        <v>no</v>
      </c>
    </row>
    <row r="100" customFormat="false" ht="15" hidden="false" customHeight="false" outlineLevel="0" collapsed="false">
      <c r="A100" s="8" t="s">
        <v>308</v>
      </c>
      <c r="B100" s="9" t="s">
        <v>212</v>
      </c>
      <c r="C100" s="8" t="s">
        <v>118</v>
      </c>
      <c r="D100" s="8" t="n">
        <v>1850</v>
      </c>
      <c r="E100" s="8" t="s">
        <v>309</v>
      </c>
      <c r="F100" s="8" t="s">
        <v>63</v>
      </c>
      <c r="G100" s="8" t="n">
        <v>4.79</v>
      </c>
      <c r="H100" s="8" t="n">
        <v>28178</v>
      </c>
      <c r="I100" s="8" t="n">
        <v>18359</v>
      </c>
      <c r="J100" s="8" t="n">
        <v>161000</v>
      </c>
      <c r="K100" s="8" t="n">
        <v>0</v>
      </c>
      <c r="L100" s="8" t="n">
        <v>1</v>
      </c>
      <c r="M100" s="8" t="n">
        <v>5</v>
      </c>
      <c r="N100" s="8" t="n">
        <v>32</v>
      </c>
      <c r="O100" s="8" t="n">
        <v>0</v>
      </c>
      <c r="P100" s="8" t="n">
        <v>18.7</v>
      </c>
      <c r="Q100" s="8" t="str">
        <f aca="false">IF(P100="","",IF(P100&lt;=30,"Yes","No - 5x+ cost"))</f>
        <v>Yes</v>
      </c>
      <c r="R100" s="8" t="n">
        <v>2.07</v>
      </c>
      <c r="S100" s="8" t="s">
        <v>64</v>
      </c>
      <c r="T100" s="8" t="s">
        <v>65</v>
      </c>
      <c r="U100" s="8" t="s">
        <v>151</v>
      </c>
      <c r="V100" s="8" t="n">
        <v>102</v>
      </c>
      <c r="W100" s="8" t="str">
        <f aca="false">IF(V100="","Unknown",IF(V100&lt;=45,"Active","Stale"))</f>
        <v>Stale</v>
      </c>
      <c r="X100" s="8" t="str">
        <f aca="false">IF(AND(K100&gt;=1,M100&gt;0,L100/M100&gt;=0.6,D100&lt;100000),"YES","no")</f>
        <v>no</v>
      </c>
    </row>
    <row r="101" customFormat="false" ht="15" hidden="false" customHeight="false" outlineLevel="0" collapsed="false">
      <c r="A101" s="10" t="s">
        <v>310</v>
      </c>
      <c r="B101" s="11" t="s">
        <v>226</v>
      </c>
      <c r="C101" s="10" t="s">
        <v>98</v>
      </c>
      <c r="D101" s="10" t="n">
        <v>1630</v>
      </c>
      <c r="E101" s="10" t="s">
        <v>215</v>
      </c>
      <c r="F101" s="10" t="s">
        <v>63</v>
      </c>
      <c r="G101" s="10" t="n">
        <v>7</v>
      </c>
      <c r="H101" s="10" t="n">
        <v>41008</v>
      </c>
      <c r="I101" s="10" t="n">
        <v>26809</v>
      </c>
      <c r="J101" s="10" t="n">
        <v>110000</v>
      </c>
      <c r="K101" s="10" t="n">
        <v>0</v>
      </c>
      <c r="L101" s="10" t="n">
        <v>1</v>
      </c>
      <c r="M101" s="10" t="n">
        <v>5</v>
      </c>
      <c r="N101" s="10" t="n">
        <v>6</v>
      </c>
      <c r="O101" s="10" t="n">
        <v>0</v>
      </c>
      <c r="P101" s="10" t="n">
        <v>17.7</v>
      </c>
      <c r="Q101" s="10" t="str">
        <f aca="false">IF(P101="","",IF(P101&lt;=30,"Yes","No - 5x+ cost"))</f>
        <v>Yes</v>
      </c>
      <c r="R101" s="10" t="n">
        <v>5.65</v>
      </c>
      <c r="S101" s="10" t="s">
        <v>64</v>
      </c>
      <c r="T101" s="10" t="s">
        <v>65</v>
      </c>
      <c r="U101" s="10" t="s">
        <v>145</v>
      </c>
      <c r="V101" s="10" t="n">
        <v>101</v>
      </c>
      <c r="W101" s="10" t="str">
        <f aca="false">IF(V101="","Unknown",IF(V101&lt;=45,"Active","Stale"))</f>
        <v>Stale</v>
      </c>
      <c r="X101" s="10" t="str">
        <f aca="false">IF(AND(K101&gt;=1,M101&gt;0,L101/M101&gt;=0.6,D101&lt;100000),"YES","no")</f>
        <v>no</v>
      </c>
    </row>
    <row r="102" customFormat="false" ht="15" hidden="false" customHeight="false" outlineLevel="0" collapsed="false">
      <c r="A102" s="8" t="s">
        <v>311</v>
      </c>
      <c r="B102" s="9" t="s">
        <v>117</v>
      </c>
      <c r="C102" s="8" t="s">
        <v>118</v>
      </c>
      <c r="D102" s="8" t="n">
        <v>1630</v>
      </c>
      <c r="E102" s="8" t="s">
        <v>257</v>
      </c>
      <c r="F102" s="8" t="s">
        <v>63</v>
      </c>
      <c r="G102" s="8" t="n">
        <v>2.49</v>
      </c>
      <c r="H102" s="8" t="n">
        <v>25512</v>
      </c>
      <c r="I102" s="8" t="n">
        <v>9560</v>
      </c>
      <c r="J102" s="8" t="n">
        <v>70000</v>
      </c>
      <c r="K102" s="8" t="n">
        <v>0</v>
      </c>
      <c r="L102" s="8" t="n">
        <v>0</v>
      </c>
      <c r="M102" s="8" t="n">
        <v>5</v>
      </c>
      <c r="N102" s="8" t="n">
        <v>8</v>
      </c>
      <c r="O102" s="8" t="n">
        <v>0.5</v>
      </c>
      <c r="P102" s="8" t="n">
        <v>13.2</v>
      </c>
      <c r="Q102" s="8" t="str">
        <f aca="false">IF(P102="","",IF(P102&lt;=30,"Yes","No - 5x+ cost"))</f>
        <v>Yes</v>
      </c>
      <c r="R102" s="8" t="n">
        <v>0</v>
      </c>
      <c r="S102" s="8" t="s">
        <v>65</v>
      </c>
      <c r="T102" s="8" t="s">
        <v>65</v>
      </c>
      <c r="U102" s="8" t="s">
        <v>152</v>
      </c>
      <c r="V102" s="8" t="n">
        <v>16</v>
      </c>
      <c r="W102" s="8" t="str">
        <f aca="false">IF(V102="","Unknown",IF(V102&lt;=45,"Active","Stale"))</f>
        <v>Active</v>
      </c>
      <c r="X102" s="8" t="str">
        <f aca="false">IF(AND(K102&gt;=1,M102&gt;0,L102/M102&gt;=0.6,D102&lt;100000),"YES","no")</f>
        <v>no</v>
      </c>
    </row>
    <row r="103" customFormat="false" ht="15" hidden="false" customHeight="false" outlineLevel="0" collapsed="false">
      <c r="A103" s="10" t="s">
        <v>312</v>
      </c>
      <c r="B103" s="11" t="s">
        <v>111</v>
      </c>
      <c r="C103" s="10" t="s">
        <v>61</v>
      </c>
      <c r="D103" s="10" t="n">
        <v>1550</v>
      </c>
      <c r="E103" s="10" t="s">
        <v>74</v>
      </c>
      <c r="F103" s="10" t="s">
        <v>63</v>
      </c>
      <c r="G103" s="10" t="n">
        <v>2.45</v>
      </c>
      <c r="H103" s="10" t="n">
        <v>23420</v>
      </c>
      <c r="I103" s="10" t="n">
        <v>9369</v>
      </c>
      <c r="J103" s="10" t="n">
        <v>96000</v>
      </c>
      <c r="K103" s="10" t="n">
        <v>0</v>
      </c>
      <c r="L103" s="10" t="n">
        <v>0</v>
      </c>
      <c r="M103" s="10" t="n">
        <v>5</v>
      </c>
      <c r="N103" s="10" t="n">
        <v>7</v>
      </c>
      <c r="O103" s="10" t="n">
        <v>0.25</v>
      </c>
      <c r="P103" s="10" t="n">
        <v>14.7</v>
      </c>
      <c r="Q103" s="10" t="str">
        <f aca="false">IF(P103="","",IF(P103&lt;=30,"Yes","No - 5x+ cost"))</f>
        <v>Yes</v>
      </c>
      <c r="R103" s="10" t="n">
        <v>0</v>
      </c>
      <c r="S103" s="10" t="s">
        <v>65</v>
      </c>
      <c r="T103" s="10" t="s">
        <v>64</v>
      </c>
      <c r="U103" s="10" t="s">
        <v>313</v>
      </c>
      <c r="V103" s="10" t="n">
        <v>23</v>
      </c>
      <c r="W103" s="10" t="str">
        <f aca="false">IF(V103="","Unknown",IF(V103&lt;=45,"Active","Stale"))</f>
        <v>Active</v>
      </c>
      <c r="X103" s="10" t="str">
        <f aca="false">IF(AND(K103&gt;=1,M103&gt;0,L103/M103&gt;=0.6,D103&lt;100000),"YES","no")</f>
        <v>no</v>
      </c>
    </row>
    <row r="104" customFormat="false" ht="15" hidden="false" customHeight="false" outlineLevel="0" collapsed="false">
      <c r="A104" s="8" t="s">
        <v>314</v>
      </c>
      <c r="B104" s="9" t="s">
        <v>111</v>
      </c>
      <c r="C104" s="8" t="s">
        <v>61</v>
      </c>
      <c r="D104" s="8" t="n">
        <v>1540</v>
      </c>
      <c r="E104" s="8" t="s">
        <v>193</v>
      </c>
      <c r="F104" s="8" t="s">
        <v>63</v>
      </c>
      <c r="G104" s="8" t="n">
        <v>3.63</v>
      </c>
      <c r="H104" s="8" t="n">
        <v>49674</v>
      </c>
      <c r="I104" s="8" t="n">
        <v>13828</v>
      </c>
      <c r="J104" s="8" t="n">
        <v>206000</v>
      </c>
      <c r="K104" s="8" t="n">
        <v>0</v>
      </c>
      <c r="L104" s="8" t="n">
        <v>2</v>
      </c>
      <c r="M104" s="8" t="n">
        <v>5</v>
      </c>
      <c r="N104" s="8" t="n">
        <v>9</v>
      </c>
      <c r="O104" s="8" t="n">
        <v>0</v>
      </c>
      <c r="P104" s="8" t="n">
        <v>20.4</v>
      </c>
      <c r="Q104" s="8" t="str">
        <f aca="false">IF(P104="","",IF(P104&lt;=30,"Yes","No - 5x+ cost"))</f>
        <v>Yes</v>
      </c>
      <c r="R104" s="8" t="n">
        <v>0</v>
      </c>
      <c r="S104" s="8" t="s">
        <v>65</v>
      </c>
      <c r="T104" s="8" t="s">
        <v>64</v>
      </c>
      <c r="U104" s="8" t="s">
        <v>289</v>
      </c>
      <c r="V104" s="8" t="n">
        <v>123</v>
      </c>
      <c r="W104" s="8" t="str">
        <f aca="false">IF(V104="","Unknown",IF(V104&lt;=45,"Active","Stale"))</f>
        <v>Stale</v>
      </c>
      <c r="X104" s="8" t="str">
        <f aca="false">IF(AND(K104&gt;=1,M104&gt;0,L104/M104&gt;=0.6,D104&lt;100000),"YES","no")</f>
        <v>no</v>
      </c>
    </row>
    <row r="105" customFormat="false" ht="15" hidden="false" customHeight="false" outlineLevel="0" collapsed="false">
      <c r="A105" s="10" t="s">
        <v>315</v>
      </c>
      <c r="B105" s="11" t="s">
        <v>122</v>
      </c>
      <c r="C105" s="10" t="s">
        <v>61</v>
      </c>
      <c r="D105" s="10" t="n">
        <v>1450</v>
      </c>
      <c r="E105" s="10" t="s">
        <v>164</v>
      </c>
      <c r="F105" s="10" t="s">
        <v>63</v>
      </c>
      <c r="G105" s="10" t="n">
        <v>3.85</v>
      </c>
      <c r="H105" s="10" t="n">
        <v>22522</v>
      </c>
      <c r="I105" s="10" t="n">
        <v>14690</v>
      </c>
      <c r="J105" s="10" t="n">
        <v>120000</v>
      </c>
      <c r="K105" s="10" t="n">
        <v>0</v>
      </c>
      <c r="L105" s="10" t="n">
        <v>1</v>
      </c>
      <c r="M105" s="10" t="n">
        <v>5</v>
      </c>
      <c r="N105" s="10" t="n">
        <v>67</v>
      </c>
      <c r="O105" s="10" t="n">
        <v>1.5</v>
      </c>
      <c r="P105" s="10" t="n">
        <v>5</v>
      </c>
      <c r="Q105" s="10" t="str">
        <f aca="false">IF(P105="","",IF(P105&lt;=30,"Yes","No - 5x+ cost"))</f>
        <v>Yes</v>
      </c>
      <c r="R105" s="10" t="n">
        <v>0</v>
      </c>
      <c r="S105" s="10" t="s">
        <v>65</v>
      </c>
      <c r="T105" s="10" t="s">
        <v>65</v>
      </c>
      <c r="U105" s="10" t="s">
        <v>167</v>
      </c>
      <c r="V105" s="10" t="n">
        <v>6</v>
      </c>
      <c r="W105" s="10" t="str">
        <f aca="false">IF(V105="","Unknown",IF(V105&lt;=45,"Active","Stale"))</f>
        <v>Active</v>
      </c>
      <c r="X105" s="10" t="str">
        <f aca="false">IF(AND(K105&gt;=1,M105&gt;0,L105/M105&gt;=0.6,D105&lt;100000),"YES","no")</f>
        <v>no</v>
      </c>
    </row>
    <row r="106" customFormat="false" ht="15" hidden="false" customHeight="false" outlineLevel="0" collapsed="false">
      <c r="A106" s="8" t="s">
        <v>316</v>
      </c>
      <c r="B106" s="9" t="s">
        <v>111</v>
      </c>
      <c r="C106" s="8" t="s">
        <v>61</v>
      </c>
      <c r="D106" s="8" t="n">
        <v>1420</v>
      </c>
      <c r="E106" s="8" t="s">
        <v>239</v>
      </c>
      <c r="F106" s="8" t="s">
        <v>63</v>
      </c>
      <c r="G106" s="8" t="n">
        <v>2.02</v>
      </c>
      <c r="H106" s="8" t="n">
        <v>15367</v>
      </c>
      <c r="I106" s="8" t="n">
        <v>7792</v>
      </c>
      <c r="J106" s="8" t="n">
        <v>98000</v>
      </c>
      <c r="K106" s="8" t="n">
        <v>0</v>
      </c>
      <c r="L106" s="8" t="n">
        <v>0</v>
      </c>
      <c r="M106" s="8" t="n">
        <v>5</v>
      </c>
      <c r="N106" s="8" t="n">
        <v>12</v>
      </c>
      <c r="O106" s="8" t="n">
        <v>0</v>
      </c>
      <c r="P106" s="8" t="n">
        <v>12.2</v>
      </c>
      <c r="Q106" s="8" t="str">
        <f aca="false">IF(P106="","",IF(P106&lt;=30,"Yes","No - 5x+ cost"))</f>
        <v>Yes</v>
      </c>
      <c r="R106" s="8" t="n">
        <v>0</v>
      </c>
      <c r="S106" s="8" t="s">
        <v>65</v>
      </c>
      <c r="T106" s="8" t="s">
        <v>64</v>
      </c>
      <c r="U106" s="8" t="s">
        <v>243</v>
      </c>
      <c r="V106" s="8" t="n">
        <v>56</v>
      </c>
      <c r="W106" s="8" t="str">
        <f aca="false">IF(V106="","Unknown",IF(V106&lt;=45,"Active","Stale"))</f>
        <v>Stale</v>
      </c>
      <c r="X106" s="8" t="str">
        <f aca="false">IF(AND(K106&gt;=1,M106&gt;0,L106/M106&gt;=0.6,D106&lt;100000),"YES","no")</f>
        <v>no</v>
      </c>
    </row>
    <row r="107" customFormat="false" ht="15" hidden="false" customHeight="false" outlineLevel="0" collapsed="false">
      <c r="A107" s="10" t="s">
        <v>317</v>
      </c>
      <c r="B107" s="11" t="s">
        <v>106</v>
      </c>
      <c r="C107" s="10" t="s">
        <v>61</v>
      </c>
      <c r="D107" s="10" t="n">
        <v>1340</v>
      </c>
      <c r="E107" s="10" t="s">
        <v>318</v>
      </c>
      <c r="F107" s="10" t="s">
        <v>63</v>
      </c>
      <c r="G107" s="10" t="n">
        <v>4.24</v>
      </c>
      <c r="H107" s="10" t="n">
        <v>71786</v>
      </c>
      <c r="I107" s="10" t="n">
        <v>16158</v>
      </c>
      <c r="J107" s="10" t="n">
        <v>234000</v>
      </c>
      <c r="K107" s="10" t="n">
        <v>0</v>
      </c>
      <c r="L107" s="10" t="n">
        <v>2</v>
      </c>
      <c r="M107" s="10" t="n">
        <v>5</v>
      </c>
      <c r="N107" s="10" t="n">
        <v>6</v>
      </c>
      <c r="O107" s="10" t="n">
        <v>1</v>
      </c>
      <c r="P107" s="10" t="n">
        <v>15.3</v>
      </c>
      <c r="Q107" s="10" t="str">
        <f aca="false">IF(P107="","",IF(P107&lt;=30,"Yes","No - 5x+ cost"))</f>
        <v>Yes</v>
      </c>
      <c r="R107" s="10" t="n">
        <v>1000.78</v>
      </c>
      <c r="S107" s="10" t="s">
        <v>64</v>
      </c>
      <c r="T107" s="10" t="s">
        <v>65</v>
      </c>
      <c r="U107" s="10" t="s">
        <v>154</v>
      </c>
      <c r="V107" s="10" t="n">
        <v>8</v>
      </c>
      <c r="W107" s="10" t="str">
        <f aca="false">IF(V107="","Unknown",IF(V107&lt;=45,"Active","Stale"))</f>
        <v>Active</v>
      </c>
      <c r="X107" s="10" t="str">
        <f aca="false">IF(AND(K107&gt;=1,M107&gt;0,L107/M107&gt;=0.6,D107&lt;100000),"YES","no")</f>
        <v>no</v>
      </c>
    </row>
    <row r="108" customFormat="false" ht="15" hidden="false" customHeight="false" outlineLevel="0" collapsed="false">
      <c r="A108" s="8" t="s">
        <v>319</v>
      </c>
      <c r="B108" s="9" t="s">
        <v>82</v>
      </c>
      <c r="C108" s="8" t="s">
        <v>61</v>
      </c>
      <c r="D108" s="8" t="n">
        <v>1320</v>
      </c>
      <c r="E108" s="8" t="s">
        <v>320</v>
      </c>
      <c r="F108" s="8" t="s">
        <v>63</v>
      </c>
      <c r="G108" s="8" t="n">
        <v>3.26</v>
      </c>
      <c r="H108" s="8" t="n">
        <v>27270</v>
      </c>
      <c r="I108" s="8" t="n">
        <v>12487</v>
      </c>
      <c r="J108" s="8" t="n">
        <v>97000</v>
      </c>
      <c r="K108" s="8" t="n">
        <v>0</v>
      </c>
      <c r="L108" s="8" t="n">
        <v>0</v>
      </c>
      <c r="M108" s="8" t="n">
        <v>5</v>
      </c>
      <c r="N108" s="8" t="n">
        <v>7</v>
      </c>
      <c r="O108" s="8" t="n">
        <v>0.75</v>
      </c>
      <c r="P108" s="8" t="n">
        <v>8.9</v>
      </c>
      <c r="Q108" s="8" t="str">
        <f aca="false">IF(P108="","",IF(P108&lt;=30,"Yes","No - 5x+ cost"))</f>
        <v>Yes</v>
      </c>
      <c r="R108" s="8" t="n">
        <v>281.09</v>
      </c>
      <c r="S108" s="8" t="s">
        <v>64</v>
      </c>
      <c r="T108" s="8" t="s">
        <v>65</v>
      </c>
      <c r="U108" s="8" t="s">
        <v>137</v>
      </c>
      <c r="V108" s="8" t="n">
        <v>11</v>
      </c>
      <c r="W108" s="8" t="str">
        <f aca="false">IF(V108="","Unknown",IF(V108&lt;=45,"Active","Stale"))</f>
        <v>Active</v>
      </c>
      <c r="X108" s="8" t="str">
        <f aca="false">IF(AND(K108&gt;=1,M108&gt;0,L108/M108&gt;=0.6,D108&lt;100000),"YES","no")</f>
        <v>no</v>
      </c>
    </row>
    <row r="109" customFormat="false" ht="15" hidden="false" customHeight="false" outlineLevel="0" collapsed="false">
      <c r="A109" s="10" t="s">
        <v>321</v>
      </c>
      <c r="B109" s="11" t="s">
        <v>117</v>
      </c>
      <c r="C109" s="10" t="s">
        <v>118</v>
      </c>
      <c r="D109" s="10" t="n">
        <v>1220</v>
      </c>
      <c r="E109" s="10" t="s">
        <v>306</v>
      </c>
      <c r="F109" s="10" t="s">
        <v>63</v>
      </c>
      <c r="G109" s="10" t="n">
        <v>4.76</v>
      </c>
      <c r="H109" s="10" t="n">
        <v>26048</v>
      </c>
      <c r="I109" s="10" t="n">
        <v>18146</v>
      </c>
      <c r="J109" s="10" t="n">
        <v>111000</v>
      </c>
      <c r="K109" s="10" t="n">
        <v>0</v>
      </c>
      <c r="L109" s="10" t="n">
        <v>1</v>
      </c>
      <c r="M109" s="10" t="n">
        <v>5</v>
      </c>
      <c r="N109" s="10" t="n">
        <v>10</v>
      </c>
      <c r="O109" s="10" t="n">
        <v>0</v>
      </c>
      <c r="P109" s="10" t="n">
        <v>8.7</v>
      </c>
      <c r="Q109" s="10" t="str">
        <f aca="false">IF(P109="","",IF(P109&lt;=30,"Yes","No - 5x+ cost"))</f>
        <v>Yes</v>
      </c>
      <c r="R109" s="10" t="n">
        <v>0</v>
      </c>
      <c r="S109" s="10" t="s">
        <v>65</v>
      </c>
      <c r="T109" s="10" t="s">
        <v>65</v>
      </c>
      <c r="U109" s="10" t="s">
        <v>84</v>
      </c>
      <c r="V109" s="10" t="n">
        <v>74</v>
      </c>
      <c r="W109" s="10" t="str">
        <f aca="false">IF(V109="","Unknown",IF(V109&lt;=45,"Active","Stale"))</f>
        <v>Stale</v>
      </c>
      <c r="X109" s="10" t="str">
        <f aca="false">IF(AND(K109&gt;=1,M109&gt;0,L109/M109&gt;=0.6,D109&lt;100000),"YES","no")</f>
        <v>no</v>
      </c>
    </row>
    <row r="110" customFormat="false" ht="15" hidden="false" customHeight="false" outlineLevel="0" collapsed="false">
      <c r="A110" s="8" t="s">
        <v>322</v>
      </c>
      <c r="B110" s="9" t="s">
        <v>82</v>
      </c>
      <c r="C110" s="8" t="s">
        <v>61</v>
      </c>
      <c r="D110" s="8" t="n">
        <v>1130</v>
      </c>
      <c r="E110" s="8" t="s">
        <v>164</v>
      </c>
      <c r="F110" s="8" t="s">
        <v>63</v>
      </c>
      <c r="G110" s="8" t="n">
        <v>4.8</v>
      </c>
      <c r="H110" s="8" t="n">
        <v>19155</v>
      </c>
      <c r="I110" s="8" t="n">
        <v>19180</v>
      </c>
      <c r="J110" s="8" t="n">
        <v>36000</v>
      </c>
      <c r="K110" s="8" t="n">
        <v>0</v>
      </c>
      <c r="L110" s="8" t="n">
        <v>0</v>
      </c>
      <c r="M110" s="8" t="n">
        <v>4</v>
      </c>
      <c r="N110" s="8" t="n">
        <v>4</v>
      </c>
      <c r="O110" s="8" t="n">
        <v>0</v>
      </c>
      <c r="P110" s="8" t="n">
        <v>14.7</v>
      </c>
      <c r="Q110" s="8" t="str">
        <f aca="false">IF(P110="","",IF(P110&lt;=30,"Yes","No - 5x+ cost"))</f>
        <v>Yes</v>
      </c>
      <c r="R110" s="8" t="n">
        <v>0</v>
      </c>
      <c r="S110" s="8" t="s">
        <v>65</v>
      </c>
      <c r="T110" s="8" t="s">
        <v>65</v>
      </c>
      <c r="U110" s="8" t="s">
        <v>119</v>
      </c>
      <c r="V110" s="8" t="n">
        <v>130</v>
      </c>
      <c r="W110" s="8" t="str">
        <f aca="false">IF(V110="","Unknown",IF(V110&lt;=45,"Active","Stale"))</f>
        <v>Stale</v>
      </c>
      <c r="X110" s="8" t="str">
        <f aca="false">IF(AND(K110&gt;=1,M110&gt;0,L110/M110&gt;=0.6,D110&lt;100000),"YES","no")</f>
        <v>no</v>
      </c>
    </row>
    <row r="111" customFormat="false" ht="15" hidden="false" customHeight="false" outlineLevel="0" collapsed="false">
      <c r="A111" s="10" t="s">
        <v>323</v>
      </c>
      <c r="B111" s="11" t="s">
        <v>111</v>
      </c>
      <c r="C111" s="10" t="s">
        <v>61</v>
      </c>
      <c r="D111" s="10" t="n">
        <v>1040</v>
      </c>
      <c r="E111" s="10" t="s">
        <v>70</v>
      </c>
      <c r="F111" s="10" t="s">
        <v>63</v>
      </c>
      <c r="G111" s="10" t="n">
        <v>3.29</v>
      </c>
      <c r="H111" s="10" t="n">
        <v>54292</v>
      </c>
      <c r="I111" s="10" t="n">
        <v>12557</v>
      </c>
      <c r="J111" s="10" t="n">
        <v>456000</v>
      </c>
      <c r="K111" s="10" t="n">
        <v>0</v>
      </c>
      <c r="L111" s="10" t="n">
        <v>5</v>
      </c>
      <c r="M111" s="10" t="n">
        <v>5</v>
      </c>
      <c r="N111" s="10" t="n">
        <v>47</v>
      </c>
      <c r="O111" s="10" t="n">
        <v>1.75</v>
      </c>
      <c r="P111" s="10" t="n">
        <v>2.2</v>
      </c>
      <c r="Q111" s="10" t="str">
        <f aca="false">IF(P111="","",IF(P111&lt;=30,"Yes","No - 5x+ cost"))</f>
        <v>Yes</v>
      </c>
      <c r="R111" s="10" t="n">
        <v>0</v>
      </c>
      <c r="S111" s="10" t="s">
        <v>65</v>
      </c>
      <c r="T111" s="10" t="s">
        <v>65</v>
      </c>
      <c r="U111" s="10" t="s">
        <v>115</v>
      </c>
      <c r="V111" s="10" t="n">
        <v>7</v>
      </c>
      <c r="W111" s="10" t="str">
        <f aca="false">IF(V111="","Unknown",IF(V111&lt;=45,"Active","Stale"))</f>
        <v>Active</v>
      </c>
      <c r="X111" s="10" t="str">
        <f aca="false">IF(AND(K111&gt;=1,M111&gt;0,L111/M111&gt;=0.6,D111&lt;100000),"YES","no")</f>
        <v>no</v>
      </c>
    </row>
  </sheetData>
  <autoFilter ref="A1:X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6" min="3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55"/>
  </cols>
  <sheetData>
    <row r="1" customFormat="false" ht="23.85" hidden="false" customHeight="false" outlineLevel="0" collapsed="false">
      <c r="A1" s="7" t="s">
        <v>324</v>
      </c>
      <c r="B1" s="7" t="s">
        <v>37</v>
      </c>
      <c r="C1" s="7" t="s">
        <v>325</v>
      </c>
      <c r="D1" s="7" t="s">
        <v>326</v>
      </c>
      <c r="E1" s="7" t="s">
        <v>327</v>
      </c>
      <c r="F1" s="7" t="s">
        <v>42</v>
      </c>
      <c r="G1" s="7" t="s">
        <v>328</v>
      </c>
      <c r="H1" s="7" t="s">
        <v>329</v>
      </c>
      <c r="I1" s="7" t="s">
        <v>50</v>
      </c>
      <c r="J1" s="7" t="s">
        <v>330</v>
      </c>
      <c r="K1" s="7" t="s">
        <v>331</v>
      </c>
    </row>
    <row r="2" customFormat="false" ht="45" hidden="false" customHeight="true" outlineLevel="0" collapsed="false">
      <c r="A2" s="10" t="s">
        <v>332</v>
      </c>
      <c r="B2" s="10" t="s">
        <v>61</v>
      </c>
      <c r="C2" s="10" t="n">
        <f aca="false">COUNTIF('Channel Tracker'!$B$2:$B$111,"*"&amp;$A2&amp;"*")</f>
        <v>20</v>
      </c>
      <c r="D2" s="10" t="n">
        <f aca="false">SUMPRODUCT(('Channel Tracker'!$X$2:$X$111="YES")*ISNUMBER(SEARCH($A2,'Channel Tracker'!$B$2:$B$111)))</f>
        <v>4</v>
      </c>
      <c r="E2" s="12" t="n">
        <f aca="false">IFERROR(AVERAGEIF('Channel Tracker'!$B$2:$B$111,"*"&amp;$A2&amp;"*",'Channel Tracker'!$D$2:$D$111),0)</f>
        <v>17184.5</v>
      </c>
      <c r="F2" s="12" t="n">
        <f aca="false">IFERROR(AVERAGEIF('Channel Tracker'!$B$2:$B$111,"*"&amp;$A2&amp;"*",'Channel Tracker'!$H$2:$H$111),0)</f>
        <v>208394.15</v>
      </c>
      <c r="G2" s="12" t="n">
        <f aca="false">IFERROR(_xlfn.MAXIFS('Channel Tracker'!$J$2:$J$111,'Channel Tracker'!$B$2:$B$111,"*"&amp;$A2&amp;"*"),0)</f>
        <v>1300000</v>
      </c>
      <c r="H2" s="10" t="n">
        <f aca="false">SUMPRODUCT(('Channel Tracker'!$K$2:$K$111&gt;=1)*ISNUMBER(SEARCH($A2,'Channel Tracker'!$B$2:$B$111)))</f>
        <v>4</v>
      </c>
      <c r="I2" s="12" t="n">
        <f aca="false">IFERROR(AVERAGEIF('Channel Tracker'!$B$2:$B$111,"*"&amp;$A2&amp;"*",'Channel Tracker'!$P$2:$P$111),0)</f>
        <v>14.125</v>
      </c>
      <c r="J2" s="10" t="n">
        <f aca="false">SUMPRODUCT(('Channel Tracker'!$W$2:$W$111="Active")*ISNUMBER(SEARCH($A2,'Channel Tracker'!$B$2:$B$111)))</f>
        <v>14</v>
      </c>
      <c r="K2" s="11" t="s">
        <v>333</v>
      </c>
    </row>
    <row r="3" customFormat="false" ht="45" hidden="false" customHeight="true" outlineLevel="0" collapsed="false">
      <c r="A3" s="10" t="s">
        <v>334</v>
      </c>
      <c r="B3" s="10" t="s">
        <v>61</v>
      </c>
      <c r="C3" s="10" t="n">
        <f aca="false">COUNTIF('Channel Tracker'!$B$2:$B$111,"*"&amp;$A3&amp;"*")</f>
        <v>20</v>
      </c>
      <c r="D3" s="10" t="n">
        <f aca="false">SUMPRODUCT(('Channel Tracker'!$X$2:$X$111="YES")*ISNUMBER(SEARCH($A3,'Channel Tracker'!$B$2:$B$111)))</f>
        <v>4</v>
      </c>
      <c r="E3" s="12" t="n">
        <f aca="false">IFERROR(AVERAGEIF('Channel Tracker'!$B$2:$B$111,"*"&amp;$A3&amp;"*",'Channel Tracker'!$D$2:$D$111),0)</f>
        <v>13193</v>
      </c>
      <c r="F3" s="12" t="n">
        <f aca="false">IFERROR(AVERAGEIF('Channel Tracker'!$B$2:$B$111,"*"&amp;$A3&amp;"*",'Channel Tracker'!$H$2:$H$111),0)</f>
        <v>91478.8</v>
      </c>
      <c r="G3" s="12" t="n">
        <f aca="false">IFERROR(_xlfn.MAXIFS('Channel Tracker'!$J$2:$J$111,'Channel Tracker'!$B$2:$B$111,"*"&amp;$A3&amp;"*"),0)</f>
        <v>1300000</v>
      </c>
      <c r="H3" s="10" t="n">
        <f aca="false">SUMPRODUCT(('Channel Tracker'!$K$2:$K$111&gt;=1)*ISNUMBER(SEARCH($A3,'Channel Tracker'!$B$2:$B$111)))</f>
        <v>5</v>
      </c>
      <c r="I3" s="12" t="n">
        <f aca="false">IFERROR(AVERAGEIF('Channel Tracker'!$B$2:$B$111,"*"&amp;$A3&amp;"*",'Channel Tracker'!$P$2:$P$111),0)</f>
        <v>29.85</v>
      </c>
      <c r="J3" s="10" t="n">
        <f aca="false">SUMPRODUCT(('Channel Tracker'!$W$2:$W$111="Active")*ISNUMBER(SEARCH($A3,'Channel Tracker'!$B$2:$B$111)))</f>
        <v>15</v>
      </c>
      <c r="K3" s="11" t="s">
        <v>335</v>
      </c>
    </row>
    <row r="4" customFormat="false" ht="45" hidden="false" customHeight="true" outlineLevel="0" collapsed="false">
      <c r="A4" s="10" t="s">
        <v>336</v>
      </c>
      <c r="B4" s="10" t="s">
        <v>78</v>
      </c>
      <c r="C4" s="10" t="n">
        <f aca="false">COUNTIF('Channel Tracker'!$B$2:$B$111,"*"&amp;$A4&amp;"*")</f>
        <v>20</v>
      </c>
      <c r="D4" s="10" t="n">
        <f aca="false">SUMPRODUCT(('Channel Tracker'!$X$2:$X$111="YES")*ISNUMBER(SEARCH($A4,'Channel Tracker'!$B$2:$B$111)))</f>
        <v>4</v>
      </c>
      <c r="E4" s="12" t="n">
        <f aca="false">IFERROR(AVERAGEIF('Channel Tracker'!$B$2:$B$111,"*"&amp;$A4&amp;"*",'Channel Tracker'!$D$2:$D$111),0)</f>
        <v>7601.45</v>
      </c>
      <c r="F4" s="12" t="n">
        <f aca="false">IFERROR(AVERAGEIF('Channel Tracker'!$B$2:$B$111,"*"&amp;$A4&amp;"*",'Channel Tracker'!$H$2:$H$111),0)</f>
        <v>79646.75</v>
      </c>
      <c r="G4" s="12" t="n">
        <f aca="false">IFERROR(_xlfn.MAXIFS('Channel Tracker'!$J$2:$J$111,'Channel Tracker'!$B$2:$B$111,"*"&amp;$A4&amp;"*"),0)</f>
        <v>830000</v>
      </c>
      <c r="H4" s="10" t="n">
        <f aca="false">SUMPRODUCT(('Channel Tracker'!$K$2:$K$111&gt;=1)*ISNUMBER(SEARCH($A4,'Channel Tracker'!$B$2:$B$111)))</f>
        <v>4</v>
      </c>
      <c r="I4" s="12" t="n">
        <f aca="false">IFERROR(AVERAGEIF('Channel Tracker'!$B$2:$B$111,"*"&amp;$A4&amp;"*",'Channel Tracker'!$P$2:$P$111),0)</f>
        <v>36.27</v>
      </c>
      <c r="J4" s="10" t="n">
        <f aca="false">SUMPRODUCT(('Channel Tracker'!$W$2:$W$111="Active")*ISNUMBER(SEARCH($A4,'Channel Tracker'!$B$2:$B$111)))</f>
        <v>17</v>
      </c>
      <c r="K4" s="11" t="s">
        <v>337</v>
      </c>
    </row>
    <row r="5" customFormat="false" ht="45" hidden="false" customHeight="true" outlineLevel="0" collapsed="false">
      <c r="A5" s="10" t="s">
        <v>338</v>
      </c>
      <c r="B5" s="10" t="s">
        <v>78</v>
      </c>
      <c r="C5" s="10" t="n">
        <f aca="false">COUNTIF('Channel Tracker'!$B$2:$B$111,"*"&amp;$A5&amp;"*")</f>
        <v>20</v>
      </c>
      <c r="D5" s="10" t="n">
        <f aca="false">SUMPRODUCT(('Channel Tracker'!$X$2:$X$111="YES")*ISNUMBER(SEARCH($A5,'Channel Tracker'!$B$2:$B$111)))</f>
        <v>1</v>
      </c>
      <c r="E5" s="12" t="n">
        <f aca="false">IFERROR(AVERAGEIF('Channel Tracker'!$B$2:$B$111,"*"&amp;$A5&amp;"*",'Channel Tracker'!$D$2:$D$111),0)</f>
        <v>10790</v>
      </c>
      <c r="F5" s="12" t="n">
        <f aca="false">IFERROR(AVERAGEIF('Channel Tracker'!$B$2:$B$111,"*"&amp;$A5&amp;"*",'Channel Tracker'!$H$2:$H$111),0)</f>
        <v>80187.15</v>
      </c>
      <c r="G5" s="12" t="n">
        <f aca="false">IFERROR(_xlfn.MAXIFS('Channel Tracker'!$J$2:$J$111,'Channel Tracker'!$B$2:$B$111,"*"&amp;$A5&amp;"*"),0)</f>
        <v>758000</v>
      </c>
      <c r="H5" s="10" t="n">
        <f aca="false">SUMPRODUCT(('Channel Tracker'!$K$2:$K$111&gt;=1)*ISNUMBER(SEARCH($A5,'Channel Tracker'!$B$2:$B$111)))</f>
        <v>1</v>
      </c>
      <c r="I5" s="12" t="n">
        <f aca="false">IFERROR(AVERAGEIF('Channel Tracker'!$B$2:$B$111,"*"&amp;$A5&amp;"*",'Channel Tracker'!$P$2:$P$111),0)</f>
        <v>38.315</v>
      </c>
      <c r="J5" s="10" t="n">
        <f aca="false">SUMPRODUCT(('Channel Tracker'!$W$2:$W$111="Active")*ISNUMBER(SEARCH($A5,'Channel Tracker'!$B$2:$B$111)))</f>
        <v>16</v>
      </c>
      <c r="K5" s="11" t="s">
        <v>339</v>
      </c>
    </row>
    <row r="6" customFormat="false" ht="45" hidden="false" customHeight="true" outlineLevel="0" collapsed="false">
      <c r="A6" s="10" t="s">
        <v>340</v>
      </c>
      <c r="B6" s="10" t="s">
        <v>61</v>
      </c>
      <c r="C6" s="10" t="n">
        <f aca="false">COUNTIF('Channel Tracker'!$B$2:$B$111,"*"&amp;$A6&amp;"*")</f>
        <v>20</v>
      </c>
      <c r="D6" s="10" t="n">
        <f aca="false">SUMPRODUCT(('Channel Tracker'!$X$2:$X$111="YES")*ISNUMBER(SEARCH($A6,'Channel Tracker'!$B$2:$B$111)))</f>
        <v>6</v>
      </c>
      <c r="E6" s="12" t="n">
        <f aca="false">IFERROR(AVERAGEIF('Channel Tracker'!$B$2:$B$111,"*"&amp;$A6&amp;"*",'Channel Tracker'!$D$2:$D$111),0)</f>
        <v>17214.5</v>
      </c>
      <c r="F6" s="12" t="n">
        <f aca="false">IFERROR(AVERAGEIF('Channel Tracker'!$B$2:$B$111,"*"&amp;$A6&amp;"*",'Channel Tracker'!$H$2:$H$111),0)</f>
        <v>191771.1</v>
      </c>
      <c r="G6" s="12" t="n">
        <f aca="false">IFERROR(_xlfn.MAXIFS('Channel Tracker'!$J$2:$J$111,'Channel Tracker'!$B$2:$B$111,"*"&amp;$A6&amp;"*"),0)</f>
        <v>3000000</v>
      </c>
      <c r="H6" s="10" t="n">
        <f aca="false">SUMPRODUCT(('Channel Tracker'!$K$2:$K$111&gt;=1)*ISNUMBER(SEARCH($A6,'Channel Tracker'!$B$2:$B$111)))</f>
        <v>7</v>
      </c>
      <c r="I6" s="12" t="n">
        <f aca="false">IFERROR(AVERAGEIF('Channel Tracker'!$B$2:$B$111,"*"&amp;$A6&amp;"*",'Channel Tracker'!$P$2:$P$111),0)</f>
        <v>22.14</v>
      </c>
      <c r="J6" s="10" t="n">
        <f aca="false">SUMPRODUCT(('Channel Tracker'!$W$2:$W$111="Active")*ISNUMBER(SEARCH($A6,'Channel Tracker'!$B$2:$B$111)))</f>
        <v>17</v>
      </c>
      <c r="K6" s="11" t="s">
        <v>341</v>
      </c>
    </row>
    <row r="7" customFormat="false" ht="45" hidden="false" customHeight="true" outlineLevel="0" collapsed="false">
      <c r="A7" s="10" t="s">
        <v>342</v>
      </c>
      <c r="B7" s="10" t="s">
        <v>61</v>
      </c>
      <c r="C7" s="10" t="n">
        <f aca="false">COUNTIF('Channel Tracker'!$B$2:$B$111,"*"&amp;$A7&amp;"*")</f>
        <v>20</v>
      </c>
      <c r="D7" s="10" t="n">
        <f aca="false">SUMPRODUCT(('Channel Tracker'!$X$2:$X$111="YES")*ISNUMBER(SEARCH($A7,'Channel Tracker'!$B$2:$B$111)))</f>
        <v>6</v>
      </c>
      <c r="E7" s="12" t="n">
        <f aca="false">IFERROR(AVERAGEIF('Channel Tracker'!$B$2:$B$111,"*"&amp;$A7&amp;"*",'Channel Tracker'!$D$2:$D$111),0)</f>
        <v>14957</v>
      </c>
      <c r="F7" s="12" t="n">
        <f aca="false">IFERROR(AVERAGEIF('Channel Tracker'!$B$2:$B$111,"*"&amp;$A7&amp;"*",'Channel Tracker'!$H$2:$H$111),0)</f>
        <v>123555.2</v>
      </c>
      <c r="G7" s="12" t="n">
        <f aca="false">IFERROR(_xlfn.MAXIFS('Channel Tracker'!$J$2:$J$111,'Channel Tracker'!$B$2:$B$111,"*"&amp;$A7&amp;"*"),0)</f>
        <v>3100000</v>
      </c>
      <c r="H7" s="10" t="n">
        <f aca="false">SUMPRODUCT(('Channel Tracker'!$K$2:$K$111&gt;=1)*ISNUMBER(SEARCH($A7,'Channel Tracker'!$B$2:$B$111)))</f>
        <v>7</v>
      </c>
      <c r="I7" s="12" t="n">
        <f aca="false">IFERROR(AVERAGEIF('Channel Tracker'!$B$2:$B$111,"*"&amp;$A7&amp;"*",'Channel Tracker'!$P$2:$P$111),0)</f>
        <v>24.745</v>
      </c>
      <c r="J7" s="10" t="n">
        <f aca="false">SUMPRODUCT(('Channel Tracker'!$W$2:$W$111="Active")*ISNUMBER(SEARCH($A7,'Channel Tracker'!$B$2:$B$111)))</f>
        <v>12</v>
      </c>
      <c r="K7" s="11" t="s">
        <v>343</v>
      </c>
    </row>
    <row r="8" customFormat="false" ht="45" hidden="false" customHeight="true" outlineLevel="0" collapsed="false">
      <c r="A8" s="10" t="s">
        <v>344</v>
      </c>
      <c r="B8" s="10" t="s">
        <v>78</v>
      </c>
      <c r="C8" s="10" t="n">
        <f aca="false">COUNTIF('Channel Tracker'!$B$2:$B$111,"*"&amp;$A8&amp;"*")</f>
        <v>20</v>
      </c>
      <c r="D8" s="10" t="n">
        <f aca="false">SUMPRODUCT(('Channel Tracker'!$X$2:$X$111="YES")*ISNUMBER(SEARCH($A8,'Channel Tracker'!$B$2:$B$111)))</f>
        <v>4</v>
      </c>
      <c r="E8" s="12" t="n">
        <f aca="false">IFERROR(AVERAGEIF('Channel Tracker'!$B$2:$B$111,"*"&amp;$A8&amp;"*",'Channel Tracker'!$D$2:$D$111),0)</f>
        <v>9700.45</v>
      </c>
      <c r="F8" s="12" t="n">
        <f aca="false">IFERROR(AVERAGEIF('Channel Tracker'!$B$2:$B$111,"*"&amp;$A8&amp;"*",'Channel Tracker'!$H$2:$H$111),0)</f>
        <v>78666.25</v>
      </c>
      <c r="G8" s="12" t="n">
        <f aca="false">IFERROR(_xlfn.MAXIFS('Channel Tracker'!$J$2:$J$111,'Channel Tracker'!$B$2:$B$111,"*"&amp;$A8&amp;"*"),0)</f>
        <v>1300000</v>
      </c>
      <c r="H8" s="10" t="n">
        <f aca="false">SUMPRODUCT(('Channel Tracker'!$K$2:$K$111&gt;=1)*ISNUMBER(SEARCH($A8,'Channel Tracker'!$B$2:$B$111)))</f>
        <v>4</v>
      </c>
      <c r="I8" s="12" t="n">
        <f aca="false">IFERROR(AVERAGEIF('Channel Tracker'!$B$2:$B$111,"*"&amp;$A8&amp;"*",'Channel Tracker'!$P$2:$P$111),0)</f>
        <v>37.725</v>
      </c>
      <c r="J8" s="10" t="n">
        <f aca="false">SUMPRODUCT(('Channel Tracker'!$W$2:$W$111="Active")*ISNUMBER(SEARCH($A8,'Channel Tracker'!$B$2:$B$111)))</f>
        <v>15</v>
      </c>
      <c r="K8" s="11" t="s">
        <v>345</v>
      </c>
    </row>
    <row r="9" customFormat="false" ht="45" hidden="false" customHeight="true" outlineLevel="0" collapsed="false">
      <c r="A9" s="10" t="s">
        <v>346</v>
      </c>
      <c r="B9" s="10" t="s">
        <v>61</v>
      </c>
      <c r="C9" s="10" t="n">
        <f aca="false">COUNTIF('Channel Tracker'!$B$2:$B$111,"*"&amp;$A9&amp;"*")</f>
        <v>20</v>
      </c>
      <c r="D9" s="10" t="n">
        <f aca="false">SUMPRODUCT(('Channel Tracker'!$X$2:$X$111="YES")*ISNUMBER(SEARCH($A9,'Channel Tracker'!$B$2:$B$111)))</f>
        <v>3</v>
      </c>
      <c r="E9" s="12" t="n">
        <f aca="false">IFERROR(AVERAGEIF('Channel Tracker'!$B$2:$B$111,"*"&amp;$A9&amp;"*",'Channel Tracker'!$D$2:$D$111),0)</f>
        <v>11664.5</v>
      </c>
      <c r="F9" s="12" t="n">
        <f aca="false">IFERROR(AVERAGEIF('Channel Tracker'!$B$2:$B$111,"*"&amp;$A9&amp;"*",'Channel Tracker'!$H$2:$H$111),0)</f>
        <v>163272.25</v>
      </c>
      <c r="G9" s="12" t="n">
        <f aca="false">IFERROR(_xlfn.MAXIFS('Channel Tracker'!$J$2:$J$111,'Channel Tracker'!$B$2:$B$111,"*"&amp;$A9&amp;"*"),0)</f>
        <v>848000</v>
      </c>
      <c r="H9" s="10" t="n">
        <f aca="false">SUMPRODUCT(('Channel Tracker'!$K$2:$K$111&gt;=1)*ISNUMBER(SEARCH($A9,'Channel Tracker'!$B$2:$B$111)))</f>
        <v>3</v>
      </c>
      <c r="I9" s="12" t="n">
        <f aca="false">IFERROR(AVERAGEIF('Channel Tracker'!$B$2:$B$111,"*"&amp;$A9&amp;"*",'Channel Tracker'!$P$2:$P$111),0)</f>
        <v>28.97</v>
      </c>
      <c r="J9" s="10" t="n">
        <f aca="false">SUMPRODUCT(('Channel Tracker'!$W$2:$W$111="Active")*ISNUMBER(SEARCH($A9,'Channel Tracker'!$B$2:$B$111)))</f>
        <v>15</v>
      </c>
      <c r="K9" s="11" t="s">
        <v>347</v>
      </c>
    </row>
    <row r="10" customFormat="false" ht="45" hidden="false" customHeight="true" outlineLevel="0" collapsed="false">
      <c r="A10" s="10" t="s">
        <v>348</v>
      </c>
      <c r="B10" s="10" t="s">
        <v>118</v>
      </c>
      <c r="C10" s="10" t="n">
        <f aca="false">COUNTIF('Channel Tracker'!$B$2:$B$111,"*"&amp;$A10&amp;"*")</f>
        <v>20</v>
      </c>
      <c r="D10" s="10" t="n">
        <f aca="false">SUMPRODUCT(('Channel Tracker'!$X$2:$X$111="YES")*ISNUMBER(SEARCH($A10,'Channel Tracker'!$B$2:$B$111)))</f>
        <v>5</v>
      </c>
      <c r="E10" s="12" t="n">
        <f aca="false">IFERROR(AVERAGEIF('Channel Tracker'!$B$2:$B$111,"*"&amp;$A10&amp;"*",'Channel Tracker'!$D$2:$D$111),0)</f>
        <v>4987.5</v>
      </c>
      <c r="F10" s="12" t="n">
        <f aca="false">IFERROR(AVERAGEIF('Channel Tracker'!$B$2:$B$111,"*"&amp;$A10&amp;"*",'Channel Tracker'!$H$2:$H$111),0)</f>
        <v>99618.7</v>
      </c>
      <c r="G10" s="12" t="n">
        <f aca="false">IFERROR(_xlfn.MAXIFS('Channel Tracker'!$J$2:$J$111,'Channel Tracker'!$B$2:$B$111,"*"&amp;$A10&amp;"*"),0)</f>
        <v>1500000</v>
      </c>
      <c r="H10" s="10" t="n">
        <f aca="false">SUMPRODUCT(('Channel Tracker'!$K$2:$K$111&gt;=1)*ISNUMBER(SEARCH($A10,'Channel Tracker'!$B$2:$B$111)))</f>
        <v>6</v>
      </c>
      <c r="I10" s="12" t="n">
        <f aca="false">IFERROR(AVERAGEIF('Channel Tracker'!$B$2:$B$111,"*"&amp;$A10&amp;"*",'Channel Tracker'!$P$2:$P$111),0)</f>
        <v>25.495</v>
      </c>
      <c r="J10" s="10" t="n">
        <f aca="false">SUMPRODUCT(('Channel Tracker'!$W$2:$W$111="Active")*ISNUMBER(SEARCH($A10,'Channel Tracker'!$B$2:$B$111)))</f>
        <v>16</v>
      </c>
      <c r="K10" s="11" t="s">
        <v>349</v>
      </c>
    </row>
    <row r="11" customFormat="false" ht="45" hidden="false" customHeight="true" outlineLevel="0" collapsed="false">
      <c r="A11" s="10" t="s">
        <v>350</v>
      </c>
      <c r="B11" s="10" t="s">
        <v>118</v>
      </c>
      <c r="C11" s="10" t="n">
        <f aca="false">COUNTIF('Channel Tracker'!$B$2:$B$111,"*"&amp;$A11&amp;"*")</f>
        <v>20</v>
      </c>
      <c r="D11" s="10" t="n">
        <f aca="false">SUMPRODUCT(('Channel Tracker'!$X$2:$X$111="YES")*ISNUMBER(SEARCH($A11,'Channel Tracker'!$B$2:$B$111)))</f>
        <v>8</v>
      </c>
      <c r="E11" s="12" t="n">
        <f aca="false">IFERROR(AVERAGEIF('Channel Tracker'!$B$2:$B$111,"*"&amp;$A11&amp;"*",'Channel Tracker'!$D$2:$D$111),0)</f>
        <v>8552</v>
      </c>
      <c r="F11" s="12" t="n">
        <f aca="false">IFERROR(AVERAGEIF('Channel Tracker'!$B$2:$B$111,"*"&amp;$A11&amp;"*",'Channel Tracker'!$H$2:$H$111),0)</f>
        <v>138929.75</v>
      </c>
      <c r="G11" s="12" t="n">
        <f aca="false">IFERROR(_xlfn.MAXIFS('Channel Tracker'!$J$2:$J$111,'Channel Tracker'!$B$2:$B$111,"*"&amp;$A11&amp;"*"),0)</f>
        <v>2400000</v>
      </c>
      <c r="H11" s="10" t="n">
        <f aca="false">SUMPRODUCT(('Channel Tracker'!$K$2:$K$111&gt;=1)*ISNUMBER(SEARCH($A11,'Channel Tracker'!$B$2:$B$111)))</f>
        <v>9</v>
      </c>
      <c r="I11" s="12" t="n">
        <f aca="false">IFERROR(AVERAGEIF('Channel Tracker'!$B$2:$B$111,"*"&amp;$A11&amp;"*",'Channel Tracker'!$P$2:$P$111),0)</f>
        <v>26.57</v>
      </c>
      <c r="J11" s="10" t="n">
        <f aca="false">SUMPRODUCT(('Channel Tracker'!$W$2:$W$111="Active")*ISNUMBER(SEARCH($A11,'Channel Tracker'!$B$2:$B$111)))</f>
        <v>13</v>
      </c>
      <c r="K11" s="11" t="s">
        <v>351</v>
      </c>
    </row>
  </sheetData>
  <autoFilter ref="A1:K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70"/>
    <col collapsed="false" customWidth="true" hidden="false" outlineLevel="0" max="5" min="5" style="0" width="42"/>
    <col collapsed="false" customWidth="true" hidden="false" outlineLevel="0" max="6" min="6" style="0" width="34"/>
  </cols>
  <sheetData>
    <row r="2" customFormat="false" ht="19.7" hidden="false" customHeight="false" outlineLevel="0" collapsed="false">
      <c r="B2" s="13" t="s">
        <v>352</v>
      </c>
      <c r="C2" s="13"/>
      <c r="D2" s="13"/>
      <c r="E2" s="13"/>
      <c r="F2" s="13"/>
    </row>
    <row r="3" customFormat="false" ht="15" hidden="false" customHeight="false" outlineLevel="0" collapsed="false">
      <c r="B3" s="14" t="s">
        <v>353</v>
      </c>
      <c r="C3" s="14"/>
      <c r="D3" s="14"/>
      <c r="E3" s="14"/>
      <c r="F3" s="14"/>
    </row>
    <row r="5" customFormat="false" ht="15" hidden="false" customHeight="false" outlineLevel="0" collapsed="false">
      <c r="A5" s="7" t="s">
        <v>354</v>
      </c>
      <c r="B5" s="7" t="s">
        <v>324</v>
      </c>
      <c r="C5" s="7" t="s">
        <v>37</v>
      </c>
      <c r="D5" s="7" t="s">
        <v>355</v>
      </c>
      <c r="E5" s="7" t="s">
        <v>356</v>
      </c>
      <c r="F5" s="7" t="s">
        <v>357</v>
      </c>
    </row>
    <row r="6" customFormat="false" ht="99.75" hidden="false" customHeight="true" outlineLevel="0" collapsed="false">
      <c r="A6" s="15" t="n">
        <v>1</v>
      </c>
      <c r="B6" s="15" t="s">
        <v>358</v>
      </c>
      <c r="C6" s="15" t="s">
        <v>61</v>
      </c>
      <c r="D6" s="15" t="s">
        <v>359</v>
      </c>
      <c r="E6" s="15" t="s">
        <v>360</v>
      </c>
      <c r="F6" s="15" t="s">
        <v>361</v>
      </c>
    </row>
    <row r="7" customFormat="false" ht="99.75" hidden="false" customHeight="true" outlineLevel="0" collapsed="false">
      <c r="A7" s="15" t="n">
        <v>2</v>
      </c>
      <c r="B7" s="15" t="s">
        <v>362</v>
      </c>
      <c r="C7" s="15" t="s">
        <v>61</v>
      </c>
      <c r="D7" s="15" t="s">
        <v>363</v>
      </c>
      <c r="E7" s="15" t="s">
        <v>364</v>
      </c>
      <c r="F7" s="15" t="s">
        <v>365</v>
      </c>
    </row>
    <row r="8" customFormat="false" ht="99.75" hidden="false" customHeight="true" outlineLevel="0" collapsed="false">
      <c r="A8" s="15" t="n">
        <v>3</v>
      </c>
      <c r="B8" s="15" t="s">
        <v>366</v>
      </c>
      <c r="C8" s="15" t="s">
        <v>61</v>
      </c>
      <c r="D8" s="15" t="s">
        <v>367</v>
      </c>
      <c r="E8" s="15" t="s">
        <v>368</v>
      </c>
      <c r="F8" s="15" t="s">
        <v>369</v>
      </c>
    </row>
    <row r="9" customFormat="false" ht="99.75" hidden="false" customHeight="true" outlineLevel="0" collapsed="false">
      <c r="A9" s="15" t="n">
        <v>4</v>
      </c>
      <c r="B9" s="15" t="s">
        <v>370</v>
      </c>
      <c r="C9" s="15" t="s">
        <v>118</v>
      </c>
      <c r="D9" s="15" t="s">
        <v>371</v>
      </c>
      <c r="E9" s="15" t="s">
        <v>372</v>
      </c>
      <c r="F9" s="15" t="s">
        <v>373</v>
      </c>
    </row>
    <row r="10" customFormat="false" ht="99.75" hidden="false" customHeight="true" outlineLevel="0" collapsed="false">
      <c r="A10" s="15" t="n">
        <v>5</v>
      </c>
      <c r="B10" s="15" t="s">
        <v>374</v>
      </c>
      <c r="C10" s="15" t="s">
        <v>118</v>
      </c>
      <c r="D10" s="15" t="s">
        <v>375</v>
      </c>
      <c r="E10" s="15" t="s">
        <v>376</v>
      </c>
      <c r="F10" s="15" t="s">
        <v>377</v>
      </c>
    </row>
    <row r="13" customFormat="false" ht="15" hidden="false" customHeight="false" outlineLevel="0" collapsed="false">
      <c r="B13" s="5" t="s">
        <v>378</v>
      </c>
    </row>
    <row r="14" customFormat="false" ht="30" hidden="false" customHeight="true" outlineLevel="0" collapsed="false">
      <c r="B14" s="4" t="s">
        <v>379</v>
      </c>
      <c r="C14" s="4"/>
      <c r="D14" s="4"/>
      <c r="E14" s="4"/>
      <c r="F14" s="4"/>
    </row>
    <row r="15" customFormat="false" ht="30" hidden="false" customHeight="true" outlineLevel="0" collapsed="false">
      <c r="B15" s="4" t="s">
        <v>380</v>
      </c>
      <c r="C15" s="4"/>
      <c r="D15" s="4"/>
      <c r="E15" s="4"/>
      <c r="F15" s="4"/>
    </row>
    <row r="16" customFormat="false" ht="30" hidden="false" customHeight="true" outlineLevel="0" collapsed="false">
      <c r="B16" s="4" t="s">
        <v>381</v>
      </c>
      <c r="C16" s="4"/>
      <c r="D16" s="4"/>
      <c r="E16" s="4"/>
      <c r="F16" s="4"/>
    </row>
  </sheetData>
  <mergeCells count="5">
    <mergeCell ref="B2:F2"/>
    <mergeCell ref="B3:F3"/>
    <mergeCell ref="B14:F14"/>
    <mergeCell ref="B15:F15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3"/>
    <col collapsed="false" customWidth="true" hidden="false" outlineLevel="0" max="9" min="9" style="0" width="11"/>
  </cols>
  <sheetData>
    <row r="2" customFormat="false" ht="19.7" hidden="false" customHeight="false" outlineLevel="0" collapsed="false">
      <c r="B2" s="13" t="s">
        <v>382</v>
      </c>
      <c r="C2" s="13"/>
      <c r="D2" s="13"/>
      <c r="E2" s="13"/>
      <c r="F2" s="13"/>
      <c r="G2" s="13"/>
      <c r="H2" s="13"/>
    </row>
    <row r="3" customFormat="false" ht="15" hidden="false" customHeight="false" outlineLevel="0" collapsed="false">
      <c r="B3" s="14" t="s">
        <v>383</v>
      </c>
      <c r="C3" s="14"/>
      <c r="D3" s="14"/>
      <c r="E3" s="14"/>
      <c r="F3" s="14"/>
      <c r="G3" s="14"/>
      <c r="H3" s="14"/>
    </row>
    <row r="5" customFormat="false" ht="15" hidden="false" customHeight="false" outlineLevel="0" collapsed="false">
      <c r="B5" s="16" t="s">
        <v>358</v>
      </c>
      <c r="C5" s="16"/>
      <c r="D5" s="16"/>
      <c r="E5" s="16"/>
      <c r="F5" s="16"/>
      <c r="G5" s="16"/>
      <c r="H5" s="16"/>
      <c r="I5" s="16"/>
    </row>
    <row r="6" customFormat="false" ht="15" hidden="false" customHeight="false" outlineLevel="0" collapsed="false">
      <c r="B6" s="7" t="s">
        <v>35</v>
      </c>
      <c r="C6" s="7" t="s">
        <v>38</v>
      </c>
      <c r="D6" s="7" t="s">
        <v>384</v>
      </c>
      <c r="E6" s="7" t="s">
        <v>41</v>
      </c>
      <c r="F6" s="7" t="s">
        <v>42</v>
      </c>
      <c r="G6" s="7" t="s">
        <v>385</v>
      </c>
      <c r="H6" s="7" t="s">
        <v>386</v>
      </c>
      <c r="I6" s="7" t="s">
        <v>53</v>
      </c>
    </row>
    <row r="7" customFormat="false" ht="15" hidden="false" customHeight="false" outlineLevel="0" collapsed="false">
      <c r="B7" s="8" t="s">
        <v>288</v>
      </c>
      <c r="C7" s="8" t="n">
        <v>2500</v>
      </c>
      <c r="D7" s="8" t="s">
        <v>289</v>
      </c>
      <c r="E7" s="8" t="n">
        <v>44.98</v>
      </c>
      <c r="F7" s="8" t="n">
        <v>171454</v>
      </c>
      <c r="G7" s="8" t="n">
        <v>191000</v>
      </c>
      <c r="H7" s="8" t="n">
        <v>0</v>
      </c>
      <c r="I7" s="8" t="s">
        <v>64</v>
      </c>
    </row>
    <row r="8" customFormat="false" ht="15" hidden="false" customHeight="false" outlineLevel="0" collapsed="false">
      <c r="B8" s="10" t="s">
        <v>59</v>
      </c>
      <c r="C8" s="10" t="n">
        <v>89900</v>
      </c>
      <c r="D8" s="10" t="s">
        <v>62</v>
      </c>
      <c r="E8" s="10" t="n">
        <v>16.41</v>
      </c>
      <c r="F8" s="10" t="n">
        <v>1680737</v>
      </c>
      <c r="G8" s="10" t="n">
        <v>281000</v>
      </c>
      <c r="H8" s="10" t="n">
        <v>0</v>
      </c>
      <c r="I8" s="10" t="s">
        <v>64</v>
      </c>
    </row>
    <row r="9" customFormat="false" ht="15" hidden="false" customHeight="false" outlineLevel="0" collapsed="false">
      <c r="B9" s="8" t="s">
        <v>113</v>
      </c>
      <c r="C9" s="8" t="n">
        <v>21400</v>
      </c>
      <c r="D9" s="8" t="s">
        <v>114</v>
      </c>
      <c r="E9" s="8" t="n">
        <v>13.35</v>
      </c>
      <c r="F9" s="8" t="n">
        <v>269166</v>
      </c>
      <c r="G9" s="8" t="n">
        <v>1300000</v>
      </c>
      <c r="H9" s="8" t="n">
        <v>3</v>
      </c>
      <c r="I9" s="8" t="s">
        <v>64</v>
      </c>
    </row>
    <row r="10" customFormat="false" ht="15" hidden="false" customHeight="false" outlineLevel="0" collapsed="false">
      <c r="B10" s="10" t="s">
        <v>124</v>
      </c>
      <c r="C10" s="10" t="n">
        <v>17300</v>
      </c>
      <c r="D10" s="10" t="s">
        <v>79</v>
      </c>
      <c r="E10" s="10" t="n">
        <v>9.47</v>
      </c>
      <c r="F10" s="10" t="n">
        <v>219269</v>
      </c>
      <c r="G10" s="10" t="n">
        <v>881000</v>
      </c>
      <c r="H10" s="10" t="n">
        <v>1</v>
      </c>
      <c r="I10" s="10" t="s">
        <v>64</v>
      </c>
    </row>
    <row r="11" customFormat="false" ht="15" hidden="false" customHeight="false" outlineLevel="0" collapsed="false">
      <c r="B11" s="8" t="s">
        <v>219</v>
      </c>
      <c r="C11" s="8" t="n">
        <v>5340</v>
      </c>
      <c r="D11" s="8" t="s">
        <v>221</v>
      </c>
      <c r="E11" s="8" t="n">
        <v>9.24</v>
      </c>
      <c r="F11" s="8" t="n">
        <v>123052</v>
      </c>
      <c r="G11" s="8" t="n">
        <v>231000</v>
      </c>
      <c r="H11" s="8" t="n">
        <v>0</v>
      </c>
      <c r="I11" s="8" t="s">
        <v>64</v>
      </c>
    </row>
    <row r="12" customFormat="false" ht="15" hidden="false" customHeight="false" outlineLevel="0" collapsed="false">
      <c r="B12" s="10" t="s">
        <v>155</v>
      </c>
      <c r="C12" s="10" t="n">
        <v>10600</v>
      </c>
      <c r="D12" s="10" t="s">
        <v>156</v>
      </c>
      <c r="E12" s="10" t="n">
        <v>7.32</v>
      </c>
      <c r="F12" s="10" t="n">
        <v>117407</v>
      </c>
      <c r="G12" s="10" t="n">
        <v>372000</v>
      </c>
      <c r="H12" s="10" t="n">
        <v>0</v>
      </c>
      <c r="I12" s="10" t="s">
        <v>64</v>
      </c>
    </row>
    <row r="13" customFormat="false" ht="15" hidden="false" customHeight="false" outlineLevel="0" collapsed="false">
      <c r="B13" s="8" t="s">
        <v>294</v>
      </c>
      <c r="C13" s="8" t="n">
        <v>2360</v>
      </c>
      <c r="D13" s="8" t="s">
        <v>296</v>
      </c>
      <c r="E13" s="8" t="n">
        <v>5.32</v>
      </c>
      <c r="F13" s="8" t="n">
        <v>28792</v>
      </c>
      <c r="G13" s="8" t="n">
        <v>109000</v>
      </c>
      <c r="H13" s="8" t="n">
        <v>0</v>
      </c>
      <c r="I13" s="8" t="s">
        <v>65</v>
      </c>
    </row>
    <row r="14" customFormat="false" ht="15" hidden="false" customHeight="false" outlineLevel="0" collapsed="false">
      <c r="B14" s="10" t="s">
        <v>265</v>
      </c>
      <c r="C14" s="10" t="n">
        <v>3290</v>
      </c>
      <c r="D14" s="10" t="s">
        <v>180</v>
      </c>
      <c r="E14" s="10" t="n">
        <v>5.26</v>
      </c>
      <c r="F14" s="10" t="n">
        <v>46980</v>
      </c>
      <c r="G14" s="10" t="n">
        <v>197000</v>
      </c>
      <c r="H14" s="10" t="n">
        <v>0</v>
      </c>
      <c r="I14" s="10" t="s">
        <v>64</v>
      </c>
    </row>
    <row r="15" customFormat="false" ht="15" hidden="false" customHeight="false" outlineLevel="0" collapsed="false">
      <c r="B15" s="8" t="s">
        <v>322</v>
      </c>
      <c r="C15" s="8" t="n">
        <v>1130</v>
      </c>
      <c r="D15" s="8" t="s">
        <v>164</v>
      </c>
      <c r="E15" s="8" t="n">
        <v>4.8</v>
      </c>
      <c r="F15" s="8" t="n">
        <v>19155</v>
      </c>
      <c r="G15" s="8" t="n">
        <v>36000</v>
      </c>
      <c r="H15" s="8" t="n">
        <v>0</v>
      </c>
      <c r="I15" s="8" t="s">
        <v>65</v>
      </c>
    </row>
    <row r="16" customFormat="false" ht="15" hidden="false" customHeight="false" outlineLevel="0" collapsed="false">
      <c r="B16" s="10" t="s">
        <v>174</v>
      </c>
      <c r="C16" s="10" t="n">
        <v>8070</v>
      </c>
      <c r="D16" s="10" t="s">
        <v>84</v>
      </c>
      <c r="E16" s="10" t="n">
        <v>4.56</v>
      </c>
      <c r="F16" s="10" t="n">
        <v>28392</v>
      </c>
      <c r="G16" s="10" t="n">
        <v>19000</v>
      </c>
      <c r="H16" s="10" t="n">
        <v>0</v>
      </c>
      <c r="I16" s="10" t="s">
        <v>65</v>
      </c>
    </row>
    <row r="17" customFormat="false" ht="15" hidden="false" customHeight="false" outlineLevel="0" collapsed="false">
      <c r="B17" s="8" t="s">
        <v>195</v>
      </c>
      <c r="C17" s="8" t="n">
        <v>6010</v>
      </c>
      <c r="D17" s="8" t="s">
        <v>161</v>
      </c>
      <c r="E17" s="8" t="n">
        <v>4.4</v>
      </c>
      <c r="F17" s="8" t="n">
        <v>56209</v>
      </c>
      <c r="G17" s="8" t="n">
        <v>224000</v>
      </c>
      <c r="H17" s="8" t="n">
        <v>0</v>
      </c>
      <c r="I17" s="8" t="s">
        <v>64</v>
      </c>
    </row>
    <row r="18" customFormat="false" ht="15" hidden="false" customHeight="false" outlineLevel="0" collapsed="false">
      <c r="B18" s="10" t="s">
        <v>278</v>
      </c>
      <c r="C18" s="10" t="n">
        <v>2850</v>
      </c>
      <c r="D18" s="10" t="s">
        <v>260</v>
      </c>
      <c r="E18" s="10" t="n">
        <v>3.78</v>
      </c>
      <c r="F18" s="10" t="n">
        <v>14249</v>
      </c>
      <c r="G18" s="10" t="n">
        <v>43000</v>
      </c>
      <c r="H18" s="10" t="n">
        <v>0</v>
      </c>
      <c r="I18" s="10" t="s">
        <v>65</v>
      </c>
    </row>
    <row r="19" customFormat="false" ht="15" hidden="false" customHeight="false" outlineLevel="0" collapsed="false">
      <c r="B19" s="8" t="s">
        <v>100</v>
      </c>
      <c r="C19" s="8" t="n">
        <v>30400</v>
      </c>
      <c r="D19" s="8" t="s">
        <v>74</v>
      </c>
      <c r="E19" s="8" t="n">
        <v>3.53</v>
      </c>
      <c r="F19" s="8" t="n">
        <v>114539</v>
      </c>
      <c r="G19" s="8" t="n">
        <v>575000</v>
      </c>
      <c r="H19" s="8" t="n">
        <v>1</v>
      </c>
      <c r="I19" s="8" t="s">
        <v>64</v>
      </c>
    </row>
    <row r="20" customFormat="false" ht="15" hidden="false" customHeight="false" outlineLevel="0" collapsed="false">
      <c r="B20" s="10" t="s">
        <v>307</v>
      </c>
      <c r="C20" s="10" t="n">
        <v>1870</v>
      </c>
      <c r="D20" s="10" t="s">
        <v>84</v>
      </c>
      <c r="E20" s="10" t="n">
        <v>3.27</v>
      </c>
      <c r="F20" s="10" t="n">
        <v>54932</v>
      </c>
      <c r="G20" s="10" t="n">
        <v>417000</v>
      </c>
      <c r="H20" s="10" t="n">
        <v>0</v>
      </c>
      <c r="I20" s="10" t="s">
        <v>64</v>
      </c>
    </row>
    <row r="21" customFormat="false" ht="15" hidden="false" customHeight="false" outlineLevel="0" collapsed="false">
      <c r="B21" s="8" t="s">
        <v>319</v>
      </c>
      <c r="C21" s="8" t="n">
        <v>1320</v>
      </c>
      <c r="D21" s="8" t="s">
        <v>320</v>
      </c>
      <c r="E21" s="8" t="n">
        <v>3.26</v>
      </c>
      <c r="F21" s="8" t="n">
        <v>27270</v>
      </c>
      <c r="G21" s="8" t="n">
        <v>97000</v>
      </c>
      <c r="H21" s="8" t="n">
        <v>0</v>
      </c>
      <c r="I21" s="8" t="s">
        <v>64</v>
      </c>
    </row>
    <row r="24" customFormat="false" ht="15" hidden="false" customHeight="false" outlineLevel="0" collapsed="false">
      <c r="B24" s="16" t="s">
        <v>362</v>
      </c>
      <c r="C24" s="16"/>
      <c r="D24" s="16"/>
      <c r="E24" s="16"/>
      <c r="F24" s="16"/>
      <c r="G24" s="16"/>
      <c r="H24" s="16"/>
      <c r="I24" s="16"/>
    </row>
    <row r="25" customFormat="false" ht="15" hidden="false" customHeight="false" outlineLevel="0" collapsed="false">
      <c r="B25" s="7" t="s">
        <v>35</v>
      </c>
      <c r="C25" s="7" t="s">
        <v>38</v>
      </c>
      <c r="D25" s="7" t="s">
        <v>384</v>
      </c>
      <c r="E25" s="7" t="s">
        <v>41</v>
      </c>
      <c r="F25" s="7" t="s">
        <v>42</v>
      </c>
      <c r="G25" s="7" t="s">
        <v>385</v>
      </c>
      <c r="H25" s="7" t="s">
        <v>386</v>
      </c>
      <c r="I25" s="7" t="s">
        <v>53</v>
      </c>
    </row>
    <row r="26" customFormat="false" ht="15" hidden="false" customHeight="false" outlineLevel="0" collapsed="false">
      <c r="B26" s="8" t="s">
        <v>102</v>
      </c>
      <c r="C26" s="8" t="n">
        <v>29200</v>
      </c>
      <c r="D26" s="8" t="s">
        <v>70</v>
      </c>
      <c r="E26" s="8" t="n">
        <v>16.95</v>
      </c>
      <c r="F26" s="8" t="n">
        <v>329336</v>
      </c>
      <c r="G26" s="8" t="n">
        <v>1300000</v>
      </c>
      <c r="H26" s="8" t="n">
        <v>5</v>
      </c>
      <c r="I26" s="8" t="s">
        <v>65</v>
      </c>
    </row>
    <row r="27" customFormat="false" ht="15" hidden="false" customHeight="false" outlineLevel="0" collapsed="false">
      <c r="B27" s="10" t="s">
        <v>59</v>
      </c>
      <c r="C27" s="10" t="n">
        <v>89900</v>
      </c>
      <c r="D27" s="10" t="s">
        <v>62</v>
      </c>
      <c r="E27" s="10" t="n">
        <v>16.41</v>
      </c>
      <c r="F27" s="10" t="n">
        <v>1680737</v>
      </c>
      <c r="G27" s="10" t="n">
        <v>281000</v>
      </c>
      <c r="H27" s="10" t="n">
        <v>0</v>
      </c>
      <c r="I27" s="10" t="s">
        <v>64</v>
      </c>
    </row>
    <row r="28" customFormat="false" ht="15" hidden="false" customHeight="false" outlineLevel="0" collapsed="false">
      <c r="B28" s="8" t="s">
        <v>150</v>
      </c>
      <c r="C28" s="8" t="n">
        <v>10900</v>
      </c>
      <c r="D28" s="8" t="s">
        <v>151</v>
      </c>
      <c r="E28" s="8" t="n">
        <v>13.87</v>
      </c>
      <c r="F28" s="8" t="n">
        <v>134718</v>
      </c>
      <c r="G28" s="8" t="n">
        <v>222000</v>
      </c>
      <c r="H28" s="8" t="n">
        <v>0</v>
      </c>
      <c r="I28" s="8" t="s">
        <v>64</v>
      </c>
    </row>
    <row r="29" customFormat="false" ht="15" hidden="false" customHeight="false" outlineLevel="0" collapsed="false">
      <c r="B29" s="10" t="s">
        <v>124</v>
      </c>
      <c r="C29" s="10" t="n">
        <v>17300</v>
      </c>
      <c r="D29" s="10" t="s">
        <v>79</v>
      </c>
      <c r="E29" s="10" t="n">
        <v>9.47</v>
      </c>
      <c r="F29" s="10" t="n">
        <v>219269</v>
      </c>
      <c r="G29" s="10" t="n">
        <v>881000</v>
      </c>
      <c r="H29" s="10" t="n">
        <v>1</v>
      </c>
      <c r="I29" s="10" t="s">
        <v>64</v>
      </c>
    </row>
    <row r="30" customFormat="false" ht="15" hidden="false" customHeight="false" outlineLevel="0" collapsed="false">
      <c r="B30" s="8" t="s">
        <v>107</v>
      </c>
      <c r="C30" s="8" t="n">
        <v>25300</v>
      </c>
      <c r="D30" s="8" t="s">
        <v>108</v>
      </c>
      <c r="E30" s="8" t="n">
        <v>5.98</v>
      </c>
      <c r="F30" s="8" t="n">
        <v>119652</v>
      </c>
      <c r="G30" s="8" t="n">
        <v>596000</v>
      </c>
      <c r="H30" s="8" t="n">
        <v>1</v>
      </c>
      <c r="I30" s="8" t="s">
        <v>65</v>
      </c>
    </row>
    <row r="31" customFormat="false" ht="15" hidden="false" customHeight="false" outlineLevel="0" collapsed="false">
      <c r="B31" s="10" t="s">
        <v>265</v>
      </c>
      <c r="C31" s="10" t="n">
        <v>3290</v>
      </c>
      <c r="D31" s="10" t="s">
        <v>180</v>
      </c>
      <c r="E31" s="10" t="n">
        <v>5.26</v>
      </c>
      <c r="F31" s="10" t="n">
        <v>46980</v>
      </c>
      <c r="G31" s="10" t="n">
        <v>197000</v>
      </c>
      <c r="H31" s="10" t="n">
        <v>0</v>
      </c>
      <c r="I31" s="10" t="s">
        <v>64</v>
      </c>
    </row>
    <row r="32" customFormat="false" ht="15" hidden="false" customHeight="false" outlineLevel="0" collapsed="false">
      <c r="B32" s="8" t="s">
        <v>131</v>
      </c>
      <c r="C32" s="8" t="n">
        <v>15700</v>
      </c>
      <c r="D32" s="8" t="s">
        <v>133</v>
      </c>
      <c r="E32" s="8" t="n">
        <v>4.37</v>
      </c>
      <c r="F32" s="8" t="n">
        <v>256127</v>
      </c>
      <c r="G32" s="8" t="n">
        <v>1200000</v>
      </c>
      <c r="H32" s="8" t="n">
        <v>1</v>
      </c>
      <c r="I32" s="8" t="s">
        <v>64</v>
      </c>
    </row>
    <row r="33" customFormat="false" ht="15" hidden="false" customHeight="false" outlineLevel="0" collapsed="false">
      <c r="B33" s="10" t="s">
        <v>317</v>
      </c>
      <c r="C33" s="10" t="n">
        <v>1340</v>
      </c>
      <c r="D33" s="10" t="s">
        <v>318</v>
      </c>
      <c r="E33" s="10" t="n">
        <v>4.24</v>
      </c>
      <c r="F33" s="10" t="n">
        <v>71786</v>
      </c>
      <c r="G33" s="10" t="n">
        <v>234000</v>
      </c>
      <c r="H33" s="10" t="n">
        <v>0</v>
      </c>
      <c r="I33" s="10" t="s">
        <v>64</v>
      </c>
    </row>
    <row r="34" customFormat="false" ht="15" hidden="false" customHeight="false" outlineLevel="0" collapsed="false">
      <c r="B34" s="8" t="s">
        <v>229</v>
      </c>
      <c r="C34" s="8" t="n">
        <v>4150</v>
      </c>
      <c r="D34" s="8" t="s">
        <v>230</v>
      </c>
      <c r="E34" s="8" t="n">
        <v>3.84</v>
      </c>
      <c r="F34" s="8" t="n">
        <v>32652</v>
      </c>
      <c r="G34" s="8" t="n">
        <v>225000</v>
      </c>
      <c r="H34" s="8" t="n">
        <v>0</v>
      </c>
      <c r="I34" s="8" t="s">
        <v>64</v>
      </c>
    </row>
    <row r="35" customFormat="false" ht="15" hidden="false" customHeight="false" outlineLevel="0" collapsed="false">
      <c r="B35" s="10" t="s">
        <v>248</v>
      </c>
      <c r="C35" s="10" t="n">
        <v>3680</v>
      </c>
      <c r="D35" s="10" t="s">
        <v>250</v>
      </c>
      <c r="E35" s="10" t="n">
        <v>3.19</v>
      </c>
      <c r="F35" s="10" t="n">
        <v>16783</v>
      </c>
      <c r="G35" s="10" t="n">
        <v>89000</v>
      </c>
      <c r="H35" s="10" t="n">
        <v>0</v>
      </c>
      <c r="I35" s="10" t="s">
        <v>64</v>
      </c>
    </row>
    <row r="36" customFormat="false" ht="15" hidden="false" customHeight="false" outlineLevel="0" collapsed="false">
      <c r="B36" s="8" t="s">
        <v>224</v>
      </c>
      <c r="C36" s="8" t="n">
        <v>5070</v>
      </c>
      <c r="D36" s="8" t="s">
        <v>161</v>
      </c>
      <c r="E36" s="8" t="n">
        <v>2.91</v>
      </c>
      <c r="F36" s="8" t="n">
        <v>38248</v>
      </c>
      <c r="G36" s="8" t="n">
        <v>271000</v>
      </c>
      <c r="H36" s="8" t="n">
        <v>0</v>
      </c>
      <c r="I36" s="8" t="s">
        <v>65</v>
      </c>
    </row>
    <row r="37" customFormat="false" ht="15" hidden="false" customHeight="false" outlineLevel="0" collapsed="false">
      <c r="B37" s="10" t="s">
        <v>105</v>
      </c>
      <c r="C37" s="10" t="n">
        <v>25700</v>
      </c>
      <c r="D37" s="10" t="s">
        <v>88</v>
      </c>
      <c r="E37" s="10" t="n">
        <v>2.77</v>
      </c>
      <c r="F37" s="10" t="n">
        <v>81210</v>
      </c>
      <c r="G37" s="10" t="n">
        <v>807000</v>
      </c>
      <c r="H37" s="10" t="n">
        <v>1</v>
      </c>
      <c r="I37" s="10" t="s">
        <v>64</v>
      </c>
    </row>
    <row r="38" customFormat="false" ht="15" hidden="false" customHeight="false" outlineLevel="0" collapsed="false">
      <c r="B38" s="8" t="s">
        <v>302</v>
      </c>
      <c r="C38" s="8" t="n">
        <v>2180</v>
      </c>
      <c r="D38" s="8" t="s">
        <v>109</v>
      </c>
      <c r="E38" s="8" t="n">
        <v>2.71</v>
      </c>
      <c r="F38" s="8" t="n">
        <v>50516</v>
      </c>
      <c r="G38" s="8" t="n">
        <v>287000</v>
      </c>
      <c r="H38" s="8" t="n">
        <v>0</v>
      </c>
      <c r="I38" s="8" t="s">
        <v>64</v>
      </c>
    </row>
    <row r="39" customFormat="false" ht="15" hidden="false" customHeight="false" outlineLevel="0" collapsed="false">
      <c r="B39" s="10" t="s">
        <v>72</v>
      </c>
      <c r="C39" s="10" t="n">
        <v>49200</v>
      </c>
      <c r="D39" s="10" t="s">
        <v>74</v>
      </c>
      <c r="E39" s="10" t="n">
        <v>2.66</v>
      </c>
      <c r="F39" s="10" t="n">
        <v>461753</v>
      </c>
      <c r="G39" s="10" t="n">
        <v>3000000</v>
      </c>
      <c r="H39" s="10" t="n">
        <v>3</v>
      </c>
      <c r="I39" s="10" t="s">
        <v>65</v>
      </c>
    </row>
    <row r="40" customFormat="false" ht="15" hidden="false" customHeight="false" outlineLevel="0" collapsed="false">
      <c r="B40" s="8" t="s">
        <v>216</v>
      </c>
      <c r="C40" s="8" t="n">
        <v>5350</v>
      </c>
      <c r="D40" s="8" t="s">
        <v>218</v>
      </c>
      <c r="E40" s="8" t="n">
        <v>2.53</v>
      </c>
      <c r="F40" s="8" t="n">
        <v>31755</v>
      </c>
      <c r="G40" s="8" t="n">
        <v>298000</v>
      </c>
      <c r="H40" s="8" t="n">
        <v>0</v>
      </c>
      <c r="I40" s="8" t="s">
        <v>64</v>
      </c>
    </row>
    <row r="43" customFormat="false" ht="15" hidden="false" customHeight="false" outlineLevel="0" collapsed="false">
      <c r="B43" s="16" t="s">
        <v>387</v>
      </c>
      <c r="C43" s="16"/>
      <c r="D43" s="16"/>
      <c r="E43" s="16"/>
      <c r="F43" s="16"/>
      <c r="G43" s="16"/>
      <c r="H43" s="16"/>
      <c r="I43" s="16"/>
    </row>
    <row r="44" customFormat="false" ht="15" hidden="false" customHeight="false" outlineLevel="0" collapsed="false">
      <c r="B44" s="7" t="s">
        <v>35</v>
      </c>
      <c r="C44" s="7" t="s">
        <v>38</v>
      </c>
      <c r="D44" s="7" t="s">
        <v>384</v>
      </c>
      <c r="E44" s="7" t="s">
        <v>41</v>
      </c>
      <c r="F44" s="7" t="s">
        <v>42</v>
      </c>
      <c r="G44" s="7" t="s">
        <v>385</v>
      </c>
      <c r="H44" s="7" t="s">
        <v>386</v>
      </c>
      <c r="I44" s="7" t="s">
        <v>53</v>
      </c>
    </row>
    <row r="45" customFormat="false" ht="15" hidden="false" customHeight="false" outlineLevel="0" collapsed="false">
      <c r="B45" s="8" t="s">
        <v>288</v>
      </c>
      <c r="C45" s="8" t="n">
        <v>2500</v>
      </c>
      <c r="D45" s="8" t="s">
        <v>289</v>
      </c>
      <c r="E45" s="8" t="n">
        <v>44.98</v>
      </c>
      <c r="F45" s="8" t="n">
        <v>171454</v>
      </c>
      <c r="G45" s="8" t="n">
        <v>191000</v>
      </c>
      <c r="H45" s="8" t="n">
        <v>0</v>
      </c>
      <c r="I45" s="8" t="s">
        <v>64</v>
      </c>
    </row>
    <row r="46" customFormat="false" ht="15" hidden="false" customHeight="false" outlineLevel="0" collapsed="false">
      <c r="B46" s="10" t="s">
        <v>102</v>
      </c>
      <c r="C46" s="10" t="n">
        <v>29200</v>
      </c>
      <c r="D46" s="10" t="s">
        <v>70</v>
      </c>
      <c r="E46" s="10" t="n">
        <v>16.95</v>
      </c>
      <c r="F46" s="10" t="n">
        <v>329336</v>
      </c>
      <c r="G46" s="10" t="n">
        <v>1300000</v>
      </c>
      <c r="H46" s="10" t="n">
        <v>5</v>
      </c>
      <c r="I46" s="10" t="s">
        <v>65</v>
      </c>
    </row>
    <row r="47" customFormat="false" ht="15" hidden="false" customHeight="false" outlineLevel="0" collapsed="false">
      <c r="B47" s="8" t="s">
        <v>85</v>
      </c>
      <c r="C47" s="8" t="n">
        <v>35800</v>
      </c>
      <c r="D47" s="8" t="s">
        <v>87</v>
      </c>
      <c r="E47" s="8" t="n">
        <v>10.12</v>
      </c>
      <c r="F47" s="8" t="n">
        <v>116583</v>
      </c>
      <c r="G47" s="8" t="n">
        <v>371000</v>
      </c>
      <c r="H47" s="8" t="n">
        <v>0</v>
      </c>
      <c r="I47" s="8" t="s">
        <v>65</v>
      </c>
    </row>
    <row r="48" customFormat="false" ht="15" hidden="false" customHeight="false" outlineLevel="0" collapsed="false">
      <c r="B48" s="10" t="s">
        <v>219</v>
      </c>
      <c r="C48" s="10" t="n">
        <v>5340</v>
      </c>
      <c r="D48" s="10" t="s">
        <v>221</v>
      </c>
      <c r="E48" s="10" t="n">
        <v>9.24</v>
      </c>
      <c r="F48" s="10" t="n">
        <v>123052</v>
      </c>
      <c r="G48" s="10" t="n">
        <v>231000</v>
      </c>
      <c r="H48" s="10" t="n">
        <v>0</v>
      </c>
      <c r="I48" s="10" t="s">
        <v>64</v>
      </c>
    </row>
    <row r="49" customFormat="false" ht="15" hidden="false" customHeight="false" outlineLevel="0" collapsed="false">
      <c r="B49" s="8" t="s">
        <v>280</v>
      </c>
      <c r="C49" s="8" t="n">
        <v>2670</v>
      </c>
      <c r="D49" s="8" t="s">
        <v>282</v>
      </c>
      <c r="E49" s="8" t="n">
        <v>5.5</v>
      </c>
      <c r="F49" s="8" t="n">
        <v>30557</v>
      </c>
      <c r="G49" s="8" t="n">
        <v>95000</v>
      </c>
      <c r="H49" s="8" t="n">
        <v>0</v>
      </c>
      <c r="I49" s="8" t="s">
        <v>64</v>
      </c>
    </row>
    <row r="50" customFormat="false" ht="15" hidden="false" customHeight="false" outlineLevel="0" collapsed="false">
      <c r="B50" s="10" t="s">
        <v>121</v>
      </c>
      <c r="C50" s="10" t="n">
        <v>17400</v>
      </c>
      <c r="D50" s="10" t="s">
        <v>92</v>
      </c>
      <c r="E50" s="10" t="n">
        <v>4.71</v>
      </c>
      <c r="F50" s="10" t="n">
        <v>325330</v>
      </c>
      <c r="G50" s="10" t="n">
        <v>3100000</v>
      </c>
      <c r="H50" s="10" t="n">
        <v>2</v>
      </c>
      <c r="I50" s="10" t="s">
        <v>65</v>
      </c>
    </row>
    <row r="51" customFormat="false" ht="15" hidden="false" customHeight="false" outlineLevel="0" collapsed="false">
      <c r="B51" s="8" t="s">
        <v>174</v>
      </c>
      <c r="C51" s="8" t="n">
        <v>8070</v>
      </c>
      <c r="D51" s="8" t="s">
        <v>84</v>
      </c>
      <c r="E51" s="8" t="n">
        <v>4.56</v>
      </c>
      <c r="F51" s="8" t="n">
        <v>28392</v>
      </c>
      <c r="G51" s="8" t="n">
        <v>19000</v>
      </c>
      <c r="H51" s="8" t="n">
        <v>0</v>
      </c>
      <c r="I51" s="8" t="s">
        <v>65</v>
      </c>
    </row>
    <row r="52" customFormat="false" ht="15" hidden="false" customHeight="false" outlineLevel="0" collapsed="false">
      <c r="B52" s="10" t="s">
        <v>131</v>
      </c>
      <c r="C52" s="10" t="n">
        <v>15700</v>
      </c>
      <c r="D52" s="10" t="s">
        <v>133</v>
      </c>
      <c r="E52" s="10" t="n">
        <v>4.37</v>
      </c>
      <c r="F52" s="10" t="n">
        <v>256127</v>
      </c>
      <c r="G52" s="10" t="n">
        <v>1200000</v>
      </c>
      <c r="H52" s="10" t="n">
        <v>1</v>
      </c>
      <c r="I52" s="10" t="s">
        <v>64</v>
      </c>
    </row>
    <row r="53" customFormat="false" ht="15" hidden="false" customHeight="false" outlineLevel="0" collapsed="false">
      <c r="B53" s="8" t="s">
        <v>315</v>
      </c>
      <c r="C53" s="8" t="n">
        <v>1450</v>
      </c>
      <c r="D53" s="8" t="s">
        <v>164</v>
      </c>
      <c r="E53" s="8" t="n">
        <v>3.85</v>
      </c>
      <c r="F53" s="8" t="n">
        <v>22522</v>
      </c>
      <c r="G53" s="8" t="n">
        <v>120000</v>
      </c>
      <c r="H53" s="8" t="n">
        <v>0</v>
      </c>
      <c r="I53" s="8" t="s">
        <v>65</v>
      </c>
    </row>
    <row r="54" customFormat="false" ht="15" hidden="false" customHeight="false" outlineLevel="0" collapsed="false">
      <c r="B54" s="10" t="s">
        <v>138</v>
      </c>
      <c r="C54" s="10" t="n">
        <v>14200</v>
      </c>
      <c r="D54" s="10" t="s">
        <v>139</v>
      </c>
      <c r="E54" s="10" t="n">
        <v>3.73</v>
      </c>
      <c r="F54" s="10" t="n">
        <v>150910</v>
      </c>
      <c r="G54" s="10" t="n">
        <v>1000000</v>
      </c>
      <c r="H54" s="10" t="n">
        <v>1</v>
      </c>
      <c r="I54" s="10" t="s">
        <v>64</v>
      </c>
    </row>
    <row r="55" customFormat="false" ht="15" hidden="false" customHeight="false" outlineLevel="0" collapsed="false">
      <c r="B55" s="8" t="s">
        <v>181</v>
      </c>
      <c r="C55" s="8" t="n">
        <v>7360</v>
      </c>
      <c r="D55" s="8" t="s">
        <v>183</v>
      </c>
      <c r="E55" s="8" t="n">
        <v>3.72</v>
      </c>
      <c r="F55" s="8" t="n">
        <v>42379</v>
      </c>
      <c r="G55" s="8" t="n">
        <v>168000</v>
      </c>
      <c r="H55" s="8" t="n">
        <v>0</v>
      </c>
      <c r="I55" s="8" t="s">
        <v>65</v>
      </c>
    </row>
    <row r="56" customFormat="false" ht="15" hidden="false" customHeight="false" outlineLevel="0" collapsed="false">
      <c r="B56" s="10" t="s">
        <v>67</v>
      </c>
      <c r="C56" s="10" t="n">
        <v>73300</v>
      </c>
      <c r="D56" s="10" t="s">
        <v>70</v>
      </c>
      <c r="E56" s="10" t="n">
        <v>2.78</v>
      </c>
      <c r="F56" s="10" t="n">
        <v>126514</v>
      </c>
      <c r="G56" s="10" t="n">
        <v>862000</v>
      </c>
      <c r="H56" s="10" t="n">
        <v>4</v>
      </c>
      <c r="I56" s="10" t="s">
        <v>64</v>
      </c>
    </row>
    <row r="57" customFormat="false" ht="15" hidden="false" customHeight="false" outlineLevel="0" collapsed="false">
      <c r="B57" s="8" t="s">
        <v>244</v>
      </c>
      <c r="C57" s="8" t="n">
        <v>3880</v>
      </c>
      <c r="D57" s="8" t="s">
        <v>180</v>
      </c>
      <c r="E57" s="8" t="n">
        <v>2.72</v>
      </c>
      <c r="F57" s="8" t="n">
        <v>57051</v>
      </c>
      <c r="G57" s="8" t="n">
        <v>466000</v>
      </c>
      <c r="H57" s="8" t="n">
        <v>0</v>
      </c>
      <c r="I57" s="8" t="s">
        <v>64</v>
      </c>
    </row>
    <row r="58" customFormat="false" ht="15" hidden="false" customHeight="false" outlineLevel="0" collapsed="false">
      <c r="B58" s="10" t="s">
        <v>72</v>
      </c>
      <c r="C58" s="10" t="n">
        <v>49200</v>
      </c>
      <c r="D58" s="10" t="s">
        <v>74</v>
      </c>
      <c r="E58" s="10" t="n">
        <v>2.66</v>
      </c>
      <c r="F58" s="10" t="n">
        <v>461753</v>
      </c>
      <c r="G58" s="10" t="n">
        <v>3000000</v>
      </c>
      <c r="H58" s="10" t="n">
        <v>3</v>
      </c>
      <c r="I58" s="10" t="s">
        <v>65</v>
      </c>
    </row>
    <row r="59" customFormat="false" ht="15" hidden="false" customHeight="false" outlineLevel="0" collapsed="false">
      <c r="B59" s="8" t="s">
        <v>279</v>
      </c>
      <c r="C59" s="8" t="n">
        <v>2680</v>
      </c>
      <c r="D59" s="8" t="s">
        <v>145</v>
      </c>
      <c r="E59" s="8" t="n">
        <v>2.33</v>
      </c>
      <c r="F59" s="8" t="n">
        <v>15797</v>
      </c>
      <c r="G59" s="8" t="n">
        <v>61000</v>
      </c>
      <c r="H59" s="8" t="n">
        <v>0</v>
      </c>
      <c r="I59" s="8" t="s">
        <v>65</v>
      </c>
    </row>
    <row r="62" customFormat="false" ht="15" hidden="false" customHeight="false" outlineLevel="0" collapsed="false">
      <c r="B62" s="16" t="s">
        <v>388</v>
      </c>
      <c r="C62" s="16"/>
      <c r="D62" s="16"/>
      <c r="E62" s="16"/>
      <c r="F62" s="16"/>
      <c r="G62" s="16"/>
      <c r="H62" s="16"/>
      <c r="I62" s="16"/>
    </row>
    <row r="63" customFormat="false" ht="15" hidden="false" customHeight="false" outlineLevel="0" collapsed="false">
      <c r="B63" s="7" t="s">
        <v>35</v>
      </c>
      <c r="C63" s="7" t="s">
        <v>38</v>
      </c>
      <c r="D63" s="7" t="s">
        <v>384</v>
      </c>
      <c r="E63" s="7" t="s">
        <v>41</v>
      </c>
      <c r="F63" s="7" t="s">
        <v>42</v>
      </c>
      <c r="G63" s="7" t="s">
        <v>385</v>
      </c>
      <c r="H63" s="7" t="s">
        <v>386</v>
      </c>
      <c r="I63" s="7" t="s">
        <v>53</v>
      </c>
    </row>
    <row r="64" customFormat="false" ht="15" hidden="false" customHeight="false" outlineLevel="0" collapsed="false">
      <c r="B64" s="8" t="s">
        <v>96</v>
      </c>
      <c r="C64" s="8" t="n">
        <v>32200</v>
      </c>
      <c r="D64" s="8" t="s">
        <v>99</v>
      </c>
      <c r="E64" s="8" t="n">
        <v>34.45</v>
      </c>
      <c r="F64" s="8" t="n">
        <v>536583</v>
      </c>
      <c r="G64" s="8" t="n">
        <v>22000</v>
      </c>
      <c r="H64" s="8" t="n">
        <v>0</v>
      </c>
      <c r="I64" s="8" t="s">
        <v>64</v>
      </c>
    </row>
    <row r="65" customFormat="false" ht="15" hidden="false" customHeight="false" outlineLevel="0" collapsed="false">
      <c r="B65" s="10" t="s">
        <v>245</v>
      </c>
      <c r="C65" s="10" t="n">
        <v>3840</v>
      </c>
      <c r="D65" s="10" t="s">
        <v>247</v>
      </c>
      <c r="E65" s="10" t="n">
        <v>32.8</v>
      </c>
      <c r="F65" s="10" t="n">
        <v>220462</v>
      </c>
      <c r="G65" s="10" t="n">
        <v>848000</v>
      </c>
      <c r="H65" s="10" t="n">
        <v>1</v>
      </c>
      <c r="I65" s="10" t="s">
        <v>64</v>
      </c>
    </row>
    <row r="66" customFormat="false" ht="15" hidden="false" customHeight="false" outlineLevel="0" collapsed="false">
      <c r="B66" s="8" t="s">
        <v>267</v>
      </c>
      <c r="C66" s="8" t="n">
        <v>3210</v>
      </c>
      <c r="D66" s="8" t="s">
        <v>268</v>
      </c>
      <c r="E66" s="8" t="n">
        <v>7.3</v>
      </c>
      <c r="F66" s="8" t="n">
        <v>61262</v>
      </c>
      <c r="G66" s="8" t="n">
        <v>347000</v>
      </c>
      <c r="H66" s="8" t="n">
        <v>0</v>
      </c>
      <c r="I66" s="8" t="s">
        <v>64</v>
      </c>
    </row>
    <row r="67" customFormat="false" ht="15" hidden="false" customHeight="false" outlineLevel="0" collapsed="false">
      <c r="B67" s="10" t="s">
        <v>310</v>
      </c>
      <c r="C67" s="10" t="n">
        <v>1630</v>
      </c>
      <c r="D67" s="10" t="s">
        <v>215</v>
      </c>
      <c r="E67" s="10" t="n">
        <v>7</v>
      </c>
      <c r="F67" s="10" t="n">
        <v>41008</v>
      </c>
      <c r="G67" s="10" t="n">
        <v>110000</v>
      </c>
      <c r="H67" s="10" t="n">
        <v>0</v>
      </c>
      <c r="I67" s="10" t="s">
        <v>64</v>
      </c>
    </row>
    <row r="68" customFormat="false" ht="15" hidden="false" customHeight="false" outlineLevel="0" collapsed="false">
      <c r="B68" s="8" t="s">
        <v>231</v>
      </c>
      <c r="C68" s="8" t="n">
        <v>4120</v>
      </c>
      <c r="D68" s="8" t="s">
        <v>233</v>
      </c>
      <c r="E68" s="8" t="n">
        <v>6.68</v>
      </c>
      <c r="F68" s="8" t="n">
        <v>55091</v>
      </c>
      <c r="G68" s="8" t="n">
        <v>329000</v>
      </c>
      <c r="H68" s="8" t="n">
        <v>0</v>
      </c>
      <c r="I68" s="8" t="s">
        <v>64</v>
      </c>
    </row>
    <row r="69" customFormat="false" ht="15" hidden="false" customHeight="false" outlineLevel="0" collapsed="false">
      <c r="B69" s="10" t="s">
        <v>214</v>
      </c>
      <c r="C69" s="10" t="n">
        <v>5420</v>
      </c>
      <c r="D69" s="10" t="s">
        <v>215</v>
      </c>
      <c r="E69" s="10" t="n">
        <v>6.62</v>
      </c>
      <c r="F69" s="10" t="n">
        <v>69438</v>
      </c>
      <c r="G69" s="10" t="n">
        <v>985000</v>
      </c>
      <c r="H69" s="10" t="n">
        <v>1</v>
      </c>
      <c r="I69" s="10" t="s">
        <v>64</v>
      </c>
    </row>
    <row r="70" customFormat="false" ht="15" hidden="false" customHeight="false" outlineLevel="0" collapsed="false">
      <c r="B70" s="8" t="s">
        <v>178</v>
      </c>
      <c r="C70" s="8" t="n">
        <v>7520</v>
      </c>
      <c r="D70" s="8" t="s">
        <v>180</v>
      </c>
      <c r="E70" s="8" t="n">
        <v>6.57</v>
      </c>
      <c r="F70" s="8" t="n">
        <v>86198</v>
      </c>
      <c r="G70" s="8" t="n">
        <v>550000</v>
      </c>
      <c r="H70" s="8" t="n">
        <v>1</v>
      </c>
      <c r="I70" s="8" t="s">
        <v>64</v>
      </c>
    </row>
    <row r="71" customFormat="false" ht="15" hidden="false" customHeight="false" outlineLevel="0" collapsed="false">
      <c r="B71" s="10" t="s">
        <v>258</v>
      </c>
      <c r="C71" s="10" t="n">
        <v>3430</v>
      </c>
      <c r="D71" s="10" t="s">
        <v>259</v>
      </c>
      <c r="E71" s="10" t="n">
        <v>6.06</v>
      </c>
      <c r="F71" s="10" t="n">
        <v>78822</v>
      </c>
      <c r="G71" s="10" t="n">
        <v>738000</v>
      </c>
      <c r="H71" s="10" t="n">
        <v>1</v>
      </c>
      <c r="I71" s="10" t="s">
        <v>65</v>
      </c>
    </row>
    <row r="72" customFormat="false" ht="15" hidden="false" customHeight="false" outlineLevel="0" collapsed="false">
      <c r="B72" s="8" t="s">
        <v>304</v>
      </c>
      <c r="C72" s="8" t="n">
        <v>2140</v>
      </c>
      <c r="D72" s="8" t="s">
        <v>273</v>
      </c>
      <c r="E72" s="8" t="n">
        <v>5.68</v>
      </c>
      <c r="F72" s="8" t="n">
        <v>56561</v>
      </c>
      <c r="G72" s="8" t="n">
        <v>276000</v>
      </c>
      <c r="H72" s="8" t="n">
        <v>0</v>
      </c>
      <c r="I72" s="8" t="s">
        <v>64</v>
      </c>
    </row>
    <row r="73" customFormat="false" ht="15" hidden="false" customHeight="false" outlineLevel="0" collapsed="false">
      <c r="B73" s="10" t="s">
        <v>241</v>
      </c>
      <c r="C73" s="10" t="n">
        <v>3910</v>
      </c>
      <c r="D73" s="10" t="s">
        <v>243</v>
      </c>
      <c r="E73" s="10" t="n">
        <v>5.09</v>
      </c>
      <c r="F73" s="10" t="n">
        <v>180924</v>
      </c>
      <c r="G73" s="10" t="n">
        <v>51000</v>
      </c>
      <c r="H73" s="10" t="n">
        <v>0</v>
      </c>
      <c r="I73" s="10" t="s">
        <v>65</v>
      </c>
    </row>
    <row r="74" customFormat="false" ht="15" hidden="false" customHeight="false" outlineLevel="0" collapsed="false">
      <c r="B74" s="8" t="s">
        <v>308</v>
      </c>
      <c r="C74" s="8" t="n">
        <v>1850</v>
      </c>
      <c r="D74" s="8" t="s">
        <v>309</v>
      </c>
      <c r="E74" s="8" t="n">
        <v>4.79</v>
      </c>
      <c r="F74" s="8" t="n">
        <v>28178</v>
      </c>
      <c r="G74" s="8" t="n">
        <v>161000</v>
      </c>
      <c r="H74" s="8" t="n">
        <v>0</v>
      </c>
      <c r="I74" s="8" t="s">
        <v>64</v>
      </c>
    </row>
    <row r="75" customFormat="false" ht="15" hidden="false" customHeight="false" outlineLevel="0" collapsed="false">
      <c r="B75" s="10" t="s">
        <v>211</v>
      </c>
      <c r="C75" s="10" t="n">
        <v>5470</v>
      </c>
      <c r="D75" s="10" t="s">
        <v>213</v>
      </c>
      <c r="E75" s="10" t="n">
        <v>4.78</v>
      </c>
      <c r="F75" s="10" t="n">
        <v>98094</v>
      </c>
      <c r="G75" s="10" t="n">
        <v>1500000</v>
      </c>
      <c r="H75" s="10" t="n">
        <v>2</v>
      </c>
      <c r="I75" s="10" t="s">
        <v>64</v>
      </c>
    </row>
    <row r="76" customFormat="false" ht="15" hidden="false" customHeight="false" outlineLevel="0" collapsed="false">
      <c r="B76" s="8" t="s">
        <v>251</v>
      </c>
      <c r="C76" s="8" t="n">
        <v>3640</v>
      </c>
      <c r="D76" s="8" t="s">
        <v>139</v>
      </c>
      <c r="E76" s="8" t="n">
        <v>3.64</v>
      </c>
      <c r="F76" s="8" t="n">
        <v>21153</v>
      </c>
      <c r="G76" s="8" t="n">
        <v>119000</v>
      </c>
      <c r="H76" s="8" t="n">
        <v>0</v>
      </c>
      <c r="I76" s="8" t="s">
        <v>64</v>
      </c>
    </row>
    <row r="77" customFormat="false" ht="15" hidden="false" customHeight="false" outlineLevel="0" collapsed="false">
      <c r="B77" s="10" t="s">
        <v>234</v>
      </c>
      <c r="C77" s="10" t="n">
        <v>3950</v>
      </c>
      <c r="D77" s="10" t="s">
        <v>235</v>
      </c>
      <c r="E77" s="10" t="n">
        <v>3.61</v>
      </c>
      <c r="F77" s="10" t="n">
        <v>51532</v>
      </c>
      <c r="G77" s="10" t="n">
        <v>224000</v>
      </c>
      <c r="H77" s="10" t="n">
        <v>0</v>
      </c>
      <c r="I77" s="10" t="s">
        <v>65</v>
      </c>
    </row>
    <row r="78" customFormat="false" ht="15" hidden="false" customHeight="false" outlineLevel="0" collapsed="false">
      <c r="B78" s="8" t="s">
        <v>274</v>
      </c>
      <c r="C78" s="8" t="n">
        <v>3060</v>
      </c>
      <c r="D78" s="8" t="s">
        <v>275</v>
      </c>
      <c r="E78" s="8" t="n">
        <v>3.39</v>
      </c>
      <c r="F78" s="8" t="n">
        <v>20259</v>
      </c>
      <c r="G78" s="8" t="n">
        <v>100000</v>
      </c>
      <c r="H78" s="8" t="n">
        <v>0</v>
      </c>
      <c r="I78" s="8" t="s">
        <v>64</v>
      </c>
    </row>
    <row r="81" customFormat="false" ht="15" hidden="false" customHeight="false" outlineLevel="0" collapsed="false">
      <c r="B81" s="16" t="s">
        <v>389</v>
      </c>
      <c r="C81" s="16"/>
      <c r="D81" s="16"/>
      <c r="E81" s="16"/>
      <c r="F81" s="16"/>
      <c r="G81" s="16"/>
      <c r="H81" s="16"/>
      <c r="I81" s="16"/>
    </row>
    <row r="82" customFormat="false" ht="15" hidden="false" customHeight="false" outlineLevel="0" collapsed="false">
      <c r="B82" s="7" t="s">
        <v>35</v>
      </c>
      <c r="C82" s="7" t="s">
        <v>38</v>
      </c>
      <c r="D82" s="7" t="s">
        <v>384</v>
      </c>
      <c r="E82" s="7" t="s">
        <v>41</v>
      </c>
      <c r="F82" s="7" t="s">
        <v>42</v>
      </c>
      <c r="G82" s="7" t="s">
        <v>385</v>
      </c>
      <c r="H82" s="7" t="s">
        <v>386</v>
      </c>
      <c r="I82" s="7" t="s">
        <v>53</v>
      </c>
    </row>
    <row r="83" customFormat="false" ht="15" hidden="false" customHeight="false" outlineLevel="0" collapsed="false">
      <c r="B83" s="8" t="s">
        <v>261</v>
      </c>
      <c r="C83" s="8" t="n">
        <v>3430</v>
      </c>
      <c r="D83" s="8" t="s">
        <v>262</v>
      </c>
      <c r="E83" s="8" t="n">
        <v>19.3</v>
      </c>
      <c r="F83" s="8" t="n">
        <v>153393</v>
      </c>
      <c r="G83" s="8" t="n">
        <v>583000</v>
      </c>
      <c r="H83" s="8" t="n">
        <v>1</v>
      </c>
      <c r="I83" s="8" t="s">
        <v>64</v>
      </c>
    </row>
    <row r="84" customFormat="false" ht="15" hidden="false" customHeight="false" outlineLevel="0" collapsed="false">
      <c r="B84" s="10" t="s">
        <v>201</v>
      </c>
      <c r="C84" s="10" t="n">
        <v>5770</v>
      </c>
      <c r="D84" s="10" t="s">
        <v>202</v>
      </c>
      <c r="E84" s="10" t="n">
        <v>17.62</v>
      </c>
      <c r="F84" s="10" t="n">
        <v>130153</v>
      </c>
      <c r="G84" s="10" t="n">
        <v>404000</v>
      </c>
      <c r="H84" s="10" t="n">
        <v>0</v>
      </c>
      <c r="I84" s="10" t="s">
        <v>64</v>
      </c>
    </row>
    <row r="85" customFormat="false" ht="15" hidden="false" customHeight="false" outlineLevel="0" collapsed="false">
      <c r="B85" s="8" t="s">
        <v>89</v>
      </c>
      <c r="C85" s="8" t="n">
        <v>34100</v>
      </c>
      <c r="D85" s="8" t="s">
        <v>92</v>
      </c>
      <c r="E85" s="8" t="n">
        <v>16.14</v>
      </c>
      <c r="F85" s="8" t="n">
        <v>211880</v>
      </c>
      <c r="G85" s="8" t="n">
        <v>758000</v>
      </c>
      <c r="H85" s="8" t="n">
        <v>1</v>
      </c>
      <c r="I85" s="8" t="s">
        <v>65</v>
      </c>
    </row>
    <row r="86" customFormat="false" ht="15" hidden="false" customHeight="false" outlineLevel="0" collapsed="false">
      <c r="B86" s="10" t="s">
        <v>116</v>
      </c>
      <c r="C86" s="10" t="n">
        <v>19000</v>
      </c>
      <c r="D86" s="10" t="s">
        <v>119</v>
      </c>
      <c r="E86" s="10" t="n">
        <v>14.3</v>
      </c>
      <c r="F86" s="10" t="n">
        <v>570347</v>
      </c>
      <c r="G86" s="10" t="n">
        <v>2200000</v>
      </c>
      <c r="H86" s="10" t="n">
        <v>5</v>
      </c>
      <c r="I86" s="10" t="s">
        <v>65</v>
      </c>
    </row>
    <row r="87" customFormat="false" ht="15" hidden="false" customHeight="false" outlineLevel="0" collapsed="false">
      <c r="B87" s="8" t="s">
        <v>141</v>
      </c>
      <c r="C87" s="8" t="n">
        <v>13800</v>
      </c>
      <c r="D87" s="8" t="s">
        <v>143</v>
      </c>
      <c r="E87" s="8" t="n">
        <v>13.91</v>
      </c>
      <c r="F87" s="8" t="n">
        <v>167207</v>
      </c>
      <c r="G87" s="8" t="n">
        <v>504000</v>
      </c>
      <c r="H87" s="8" t="n">
        <v>1</v>
      </c>
      <c r="I87" s="8" t="s">
        <v>64</v>
      </c>
    </row>
    <row r="88" customFormat="false" ht="15" hidden="false" customHeight="false" outlineLevel="0" collapsed="false">
      <c r="B88" s="10" t="s">
        <v>207</v>
      </c>
      <c r="C88" s="10" t="n">
        <v>5550</v>
      </c>
      <c r="D88" s="10" t="s">
        <v>210</v>
      </c>
      <c r="E88" s="10" t="n">
        <v>9.32</v>
      </c>
      <c r="F88" s="10" t="n">
        <v>77801</v>
      </c>
      <c r="G88" s="10" t="n">
        <v>400000</v>
      </c>
      <c r="H88" s="10" t="n">
        <v>0</v>
      </c>
      <c r="I88" s="10" t="s">
        <v>64</v>
      </c>
    </row>
    <row r="89" customFormat="false" ht="15" hidden="false" customHeight="false" outlineLevel="0" collapsed="false">
      <c r="B89" s="8" t="s">
        <v>267</v>
      </c>
      <c r="C89" s="8" t="n">
        <v>3210</v>
      </c>
      <c r="D89" s="8" t="s">
        <v>268</v>
      </c>
      <c r="E89" s="8" t="n">
        <v>7.3</v>
      </c>
      <c r="F89" s="8" t="n">
        <v>61262</v>
      </c>
      <c r="G89" s="8" t="n">
        <v>347000</v>
      </c>
      <c r="H89" s="8" t="n">
        <v>0</v>
      </c>
      <c r="I89" s="8" t="s">
        <v>64</v>
      </c>
    </row>
    <row r="90" customFormat="false" ht="15" hidden="false" customHeight="false" outlineLevel="0" collapsed="false">
      <c r="B90" s="10" t="s">
        <v>214</v>
      </c>
      <c r="C90" s="10" t="n">
        <v>5420</v>
      </c>
      <c r="D90" s="10" t="s">
        <v>215</v>
      </c>
      <c r="E90" s="10" t="n">
        <v>6.62</v>
      </c>
      <c r="F90" s="10" t="n">
        <v>69438</v>
      </c>
      <c r="G90" s="10" t="n">
        <v>985000</v>
      </c>
      <c r="H90" s="10" t="n">
        <v>1</v>
      </c>
      <c r="I90" s="10" t="s">
        <v>64</v>
      </c>
    </row>
    <row r="91" customFormat="false" ht="15" hidden="false" customHeight="false" outlineLevel="0" collapsed="false">
      <c r="B91" s="8" t="s">
        <v>178</v>
      </c>
      <c r="C91" s="8" t="n">
        <v>7520</v>
      </c>
      <c r="D91" s="8" t="s">
        <v>180</v>
      </c>
      <c r="E91" s="8" t="n">
        <v>6.57</v>
      </c>
      <c r="F91" s="8" t="n">
        <v>86198</v>
      </c>
      <c r="G91" s="8" t="n">
        <v>550000</v>
      </c>
      <c r="H91" s="8" t="n">
        <v>1</v>
      </c>
      <c r="I91" s="8" t="s">
        <v>64</v>
      </c>
    </row>
    <row r="92" customFormat="false" ht="15" hidden="false" customHeight="false" outlineLevel="0" collapsed="false">
      <c r="B92" s="10" t="s">
        <v>258</v>
      </c>
      <c r="C92" s="10" t="n">
        <v>3430</v>
      </c>
      <c r="D92" s="10" t="s">
        <v>259</v>
      </c>
      <c r="E92" s="10" t="n">
        <v>6.06</v>
      </c>
      <c r="F92" s="10" t="n">
        <v>78822</v>
      </c>
      <c r="G92" s="10" t="n">
        <v>738000</v>
      </c>
      <c r="H92" s="10" t="n">
        <v>1</v>
      </c>
      <c r="I92" s="10" t="s">
        <v>65</v>
      </c>
    </row>
    <row r="93" customFormat="false" ht="15" hidden="false" customHeight="false" outlineLevel="0" collapsed="false">
      <c r="B93" s="8" t="s">
        <v>128</v>
      </c>
      <c r="C93" s="8" t="n">
        <v>16000</v>
      </c>
      <c r="D93" s="8" t="s">
        <v>130</v>
      </c>
      <c r="E93" s="8" t="n">
        <v>5.31</v>
      </c>
      <c r="F93" s="8" t="n">
        <v>70960</v>
      </c>
      <c r="G93" s="8" t="n">
        <v>324000</v>
      </c>
      <c r="H93" s="8" t="n">
        <v>0</v>
      </c>
      <c r="I93" s="8" t="s">
        <v>64</v>
      </c>
    </row>
    <row r="94" customFormat="false" ht="15" hidden="false" customHeight="false" outlineLevel="0" collapsed="false">
      <c r="B94" s="10" t="s">
        <v>241</v>
      </c>
      <c r="C94" s="10" t="n">
        <v>3910</v>
      </c>
      <c r="D94" s="10" t="s">
        <v>243</v>
      </c>
      <c r="E94" s="10" t="n">
        <v>5.09</v>
      </c>
      <c r="F94" s="10" t="n">
        <v>180924</v>
      </c>
      <c r="G94" s="10" t="n">
        <v>51000</v>
      </c>
      <c r="H94" s="10" t="n">
        <v>0</v>
      </c>
      <c r="I94" s="10" t="s">
        <v>65</v>
      </c>
    </row>
    <row r="95" customFormat="false" ht="15" hidden="false" customHeight="false" outlineLevel="0" collapsed="false">
      <c r="B95" s="8" t="s">
        <v>140</v>
      </c>
      <c r="C95" s="8" t="n">
        <v>14200</v>
      </c>
      <c r="D95" s="8" t="s">
        <v>79</v>
      </c>
      <c r="E95" s="8" t="n">
        <v>4.88</v>
      </c>
      <c r="F95" s="8" t="n">
        <v>102487</v>
      </c>
      <c r="G95" s="8" t="n">
        <v>116000</v>
      </c>
      <c r="H95" s="8" t="n">
        <v>0</v>
      </c>
      <c r="I95" s="8" t="s">
        <v>64</v>
      </c>
    </row>
    <row r="96" customFormat="false" ht="15" hidden="false" customHeight="false" outlineLevel="0" collapsed="false">
      <c r="B96" s="10" t="s">
        <v>153</v>
      </c>
      <c r="C96" s="10" t="n">
        <v>10700</v>
      </c>
      <c r="D96" s="10" t="s">
        <v>88</v>
      </c>
      <c r="E96" s="10" t="n">
        <v>4.85</v>
      </c>
      <c r="F96" s="10" t="n">
        <v>53116</v>
      </c>
      <c r="G96" s="10" t="n">
        <v>162000</v>
      </c>
      <c r="H96" s="10" t="n">
        <v>0</v>
      </c>
      <c r="I96" s="10" t="s">
        <v>64</v>
      </c>
    </row>
    <row r="97" customFormat="false" ht="15" hidden="false" customHeight="false" outlineLevel="0" collapsed="false">
      <c r="B97" s="8" t="s">
        <v>321</v>
      </c>
      <c r="C97" s="8" t="n">
        <v>1220</v>
      </c>
      <c r="D97" s="8" t="s">
        <v>306</v>
      </c>
      <c r="E97" s="8" t="n">
        <v>4.76</v>
      </c>
      <c r="F97" s="8" t="n">
        <v>26048</v>
      </c>
      <c r="G97" s="8" t="n">
        <v>111000</v>
      </c>
      <c r="H97" s="8" t="n">
        <v>0</v>
      </c>
      <c r="I97" s="8" t="s">
        <v>65</v>
      </c>
    </row>
  </sheetData>
  <mergeCells count="7">
    <mergeCell ref="B2:H2"/>
    <mergeCell ref="B3:H3"/>
    <mergeCell ref="B5:I5"/>
    <mergeCell ref="B24:I24"/>
    <mergeCell ref="B43:I43"/>
    <mergeCell ref="B62:I62"/>
    <mergeCell ref="B81:I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2026-08-02T17:34:20Z</dcterms:created>
  <dc:creator>openpyxl</dc:creator>
  <dc:description/>
  <dc:language>en-US</dc:language>
  <cp:lastModifiedBy/>
  <dcterms:modified xsi:type="dcterms:W3CDTF">2026-08-02T17:34:21Z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